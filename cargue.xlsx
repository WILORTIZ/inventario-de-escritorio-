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NDRES\Downloads\"/>
    </mc:Choice>
  </mc:AlternateContent>
  <bookViews>
    <workbookView xWindow="0" yWindow="0" windowWidth="15330" windowHeight="4635"/>
  </bookViews>
  <sheets>
    <sheet name="Hoja2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3" i="1" l="1"/>
  <c r="C561" i="1"/>
  <c r="C615" i="1"/>
  <c r="C9" i="1"/>
  <c r="C34" i="1"/>
  <c r="C351" i="1"/>
  <c r="C352" i="1"/>
  <c r="C369" i="1"/>
  <c r="C239" i="1"/>
  <c r="C235" i="1"/>
  <c r="C33" i="1"/>
  <c r="C32" i="1"/>
  <c r="C31" i="1"/>
  <c r="C30" i="1"/>
  <c r="C29" i="1"/>
  <c r="C24" i="1"/>
  <c r="C20" i="1"/>
  <c r="C19" i="1"/>
  <c r="C17" i="1"/>
  <c r="C13" i="1"/>
  <c r="C11" i="1"/>
  <c r="C8" i="1"/>
</calcChain>
</file>

<file path=xl/sharedStrings.xml><?xml version="1.0" encoding="utf-8"?>
<sst xmlns="http://schemas.openxmlformats.org/spreadsheetml/2006/main" count="1620" uniqueCount="1343">
  <si>
    <t>ID</t>
  </si>
  <si>
    <t>ITEM</t>
  </si>
  <si>
    <t>CANTIDAD</t>
  </si>
  <si>
    <t>ESTANTERIA</t>
  </si>
  <si>
    <t>NIVEL</t>
  </si>
  <si>
    <t>7537</t>
  </si>
  <si>
    <t>ABRAZADERA AJUSTABLE (UNISTRUT) GALVANIZADA CALIENTE 1"</t>
  </si>
  <si>
    <t>A</t>
  </si>
  <si>
    <t>7535</t>
  </si>
  <si>
    <t>ABRAZADERA AJUSTABLE (UNISTRUT) GALVANIZADA CALIENTE 1 1/2"</t>
  </si>
  <si>
    <t>7536</t>
  </si>
  <si>
    <t>ABRAZADERA AJUSTABLE (UNISTRUT) GALVANIZADA CALIENTE 1 1/4"</t>
  </si>
  <si>
    <t>7540</t>
  </si>
  <si>
    <t>ABRAZADERA AJUSTABLE (UNISTRUT) GALVANIZADA CALIENTE 2"</t>
  </si>
  <si>
    <t>9327</t>
  </si>
  <si>
    <t>ABRAZADERA AJUSTABLE (UNISTRUT) GALVANIZADA CALIENTE 3"</t>
  </si>
  <si>
    <t>7541</t>
  </si>
  <si>
    <t>ABRAZADERA AJUSTABLE (UNISTRUT) GALVANIZADA CALIENTE 3/4"</t>
  </si>
  <si>
    <t>7544</t>
  </si>
  <si>
    <t>ABRAZADERA AJUSTABLE (UNISTRUT) INTERIOR 1"</t>
  </si>
  <si>
    <t>7542</t>
  </si>
  <si>
    <t>ABRAZADERA AJUSTABLE (UNISTRUT) INTERIOR 1 1/2"</t>
  </si>
  <si>
    <t>7545</t>
  </si>
  <si>
    <t>ABRAZADERA AJUSTABLE (UNISTRUT) INTERIOR 1/2"</t>
  </si>
  <si>
    <t>7547</t>
  </si>
  <si>
    <t>ABRAZADERA AJUSTABLE (UNISTRUT) INTERIOR 2"</t>
  </si>
  <si>
    <t>8373</t>
  </si>
  <si>
    <t>ABRAZADERA AJUSTABLE (UNISTRUT) INTERIOR 3"</t>
  </si>
  <si>
    <t>7548</t>
  </si>
  <si>
    <t>ABRAZADERA AJUSTABLE (UNISTRUT) INTERIOR 3/4"</t>
  </si>
  <si>
    <t>7551</t>
  </si>
  <si>
    <t>ABRAZADERA COLGANTE (IMC/CORAZA) PARA EXTERIOR 1"</t>
  </si>
  <si>
    <t>7549</t>
  </si>
  <si>
    <t>ABRAZADERA COLGANTE (IMC/CORAZA) PARA EXTERIOR 1 1/2"</t>
  </si>
  <si>
    <t>7552</t>
  </si>
  <si>
    <t>ABRAZADERA COLGANTE (IMC/CORAZA) PARA EXTERIOR 1/2"</t>
  </si>
  <si>
    <t>7554</t>
  </si>
  <si>
    <t>ABRAZADERA COLGANTE (IMC/CORAZA) PARA EXTERIOR 2"</t>
  </si>
  <si>
    <t>9328</t>
  </si>
  <si>
    <t>ABRAZADERA COLGANTE (IMC/CORAZA) PARA EXTERIOR 3"</t>
  </si>
  <si>
    <t>7555</t>
  </si>
  <si>
    <t>ABRAZADERA COLGANTE (IMC/CORAZA) PARA EXTERIOR 3/4"</t>
  </si>
  <si>
    <t>7558</t>
  </si>
  <si>
    <t>ABRAZADERA COLGANTE PARA INTERIOR 1"</t>
  </si>
  <si>
    <t>7556</t>
  </si>
  <si>
    <t>ABRAZADERA COLGANTE PARA INTERIOR 1 1/2"</t>
  </si>
  <si>
    <t>7557</t>
  </si>
  <si>
    <t>ABRAZADERA COLGANTE PARA INTERIOR 1 1/4"</t>
  </si>
  <si>
    <t>7559</t>
  </si>
  <si>
    <t>ABRAZADERA COLGANTE PARA INTERIOR 1/2"</t>
  </si>
  <si>
    <t>7562</t>
  </si>
  <si>
    <t>ABRAZADERA COLGANTE PARA INTERIOR 3/4"</t>
  </si>
  <si>
    <t>7565</t>
  </si>
  <si>
    <t>ABRAZADERA DOBLE ALA (IMC/CORAZA) PARA EXTERIOR 1"</t>
  </si>
  <si>
    <t>7563</t>
  </si>
  <si>
    <t>ABRAZADERA DOBLE ALA (IMC/CORAZA) PARA EXTERIOR 1 1/2"</t>
  </si>
  <si>
    <t>7564</t>
  </si>
  <si>
    <t>ABRAZADERA DOBLE ALA (IMC/CORAZA) PARA EXTERIOR 1 1/4"</t>
  </si>
  <si>
    <t>7568</t>
  </si>
  <si>
    <t>ABRAZADERA DOBLE ALA (IMC/CORAZA) PARA EXTERIOR 2"</t>
  </si>
  <si>
    <t>7569</t>
  </si>
  <si>
    <t>ABRAZADERA DOBLE ALA (IMC/CORAZA) PARA EXTERIOR 3/4"</t>
  </si>
  <si>
    <t>7572</t>
  </si>
  <si>
    <t>ABRAZADERA DOBLE ALA PARA INTERIOR 1"</t>
  </si>
  <si>
    <t>7570</t>
  </si>
  <si>
    <t>ABRAZADERA DOBLE ALA PARA INTERIOR 1 1/2"</t>
  </si>
  <si>
    <t>7573</t>
  </si>
  <si>
    <t>ABRAZADERA DOBLE ALA PARA INTERIOR 1/2"</t>
  </si>
  <si>
    <t>7575</t>
  </si>
  <si>
    <t>ABRAZADERA DOBLE ALA PARA INTERIOR 2"</t>
  </si>
  <si>
    <t>7576</t>
  </si>
  <si>
    <t>ABRAZADERA DOBLE ALA PARA INTERIOR 3/4"</t>
  </si>
  <si>
    <t>7579</t>
  </si>
  <si>
    <t>ABRAZADERA UN ALA (IMC/CORAZA) PARA EXTERIOR 1"</t>
  </si>
  <si>
    <t>7590</t>
  </si>
  <si>
    <t>ABRAZADERA UN ALA PARA INTERIOR 3/4"</t>
  </si>
  <si>
    <t>7602</t>
  </si>
  <si>
    <t>ADAPTADOR HEMBRA CONDUIT PVC 1/2"</t>
  </si>
  <si>
    <t>18420</t>
  </si>
  <si>
    <t>ADAPTADOR IMPACTO CUADRANTE DE 1/2"</t>
  </si>
  <si>
    <t>18419</t>
  </si>
  <si>
    <t>ADAPTADOR IMPACTO CUADRANTE DE 1/4"</t>
  </si>
  <si>
    <t>18418</t>
  </si>
  <si>
    <t>ADAPTADOR IMPACTO CUADRANTE DE 3/8"</t>
  </si>
  <si>
    <t>35589</t>
  </si>
  <si>
    <t>ADAPTADOR IMPACTO CUADRANTE DE 5/16</t>
  </si>
  <si>
    <t>7656</t>
  </si>
  <si>
    <t>ADAPTADOR MACHO PVC 1/2"</t>
  </si>
  <si>
    <t>8379</t>
  </si>
  <si>
    <t>ADAPTADOR TERMINAL CAMPANA DUCTO CONDUIT PVC 1"</t>
  </si>
  <si>
    <t>9334</t>
  </si>
  <si>
    <t>ADAPTADOR TERMINAL CAMPANA DUCTO CONDUIT PVC 1 1/2"</t>
  </si>
  <si>
    <t>7667</t>
  </si>
  <si>
    <t>ADAPTADOR TERMINAL CAMPANA DUCTO CONDUIT PVC 2"</t>
  </si>
  <si>
    <t>7668</t>
  </si>
  <si>
    <t>ADAPTADOR TERMINAL CAMPANA DUCTO CONDUIT PVC 3"</t>
  </si>
  <si>
    <t>7675</t>
  </si>
  <si>
    <t>ADAPTADOR TERMINAL CONDUIT PVC (SCH 40) 2"</t>
  </si>
  <si>
    <t>7680</t>
  </si>
  <si>
    <t>ADAPTADOR TERMINAL CONDUIT PVC 1"</t>
  </si>
  <si>
    <t>7678</t>
  </si>
  <si>
    <t>ADAPTADOR TERMINAL CONDUIT PVC 1 1/2"</t>
  </si>
  <si>
    <t>7679</t>
  </si>
  <si>
    <t>ADAPTADOR TERMINAL CONDUIT PVC 1 1/4"</t>
  </si>
  <si>
    <t>7682</t>
  </si>
  <si>
    <t>ADAPTADOR TERMINAL CONDUIT PVC 2"</t>
  </si>
  <si>
    <t>7683</t>
  </si>
  <si>
    <t>ADAPTADOR TERMINAL CONDUIT PVC 3"</t>
  </si>
  <si>
    <t>7684</t>
  </si>
  <si>
    <t>ADAPTADOR TERMINAL CONDUIT PVC 3/4"</t>
  </si>
  <si>
    <t>9282</t>
  </si>
  <si>
    <t>AEROSOL ANTICORROSIVO GALVANIZADO 12 OZ RUST OLEUM</t>
  </si>
  <si>
    <t>7495</t>
  </si>
  <si>
    <t>AEROSOL ANTICORROSIVO GALVANIZADO 20 OZ RUST OLEUM</t>
  </si>
  <si>
    <t>8737</t>
  </si>
  <si>
    <t>AEROSOL ANTICORROSIVO RUST OLEUM GALVANIZADO MATE - 12 OZ</t>
  </si>
  <si>
    <t>7497</t>
  </si>
  <si>
    <t>AEROSOL AZUL 12 OZ RUST OLEUM</t>
  </si>
  <si>
    <t>7498</t>
  </si>
  <si>
    <t>AEROSOL DESENGRASANTE 500ML WEICON</t>
  </si>
  <si>
    <t>9283</t>
  </si>
  <si>
    <t>AEROSOL NARANJA PINTUCO</t>
  </si>
  <si>
    <t>24476</t>
  </si>
  <si>
    <t>ALAMBRÓN ALUMINIO 8MM APANTALLAMIENTO</t>
  </si>
  <si>
    <t>4752</t>
  </si>
  <si>
    <t>AMARRE PLASTICO BLANCO 10 CM DEXSON</t>
  </si>
  <si>
    <t>8974</t>
  </si>
  <si>
    <t>AMARRE PLASTICO BLANCO 20 CM DEXSON</t>
  </si>
  <si>
    <t>4758</t>
  </si>
  <si>
    <t>AMARRE PLASTICO NEGRO 10 CM DEXSON</t>
  </si>
  <si>
    <t>4759</t>
  </si>
  <si>
    <t>AMARRE PLASTICO NEGRO 15 CM DEXSON</t>
  </si>
  <si>
    <t>4760</t>
  </si>
  <si>
    <t>AMARRE PLASTICO NEGRO 20 CM DEXSON</t>
  </si>
  <si>
    <t>4761</t>
  </si>
  <si>
    <t>AMARRE PLASTICO NEGRO 25 CM DEXSON</t>
  </si>
  <si>
    <t>4762</t>
  </si>
  <si>
    <t>AMARRE PLASTICO NEGRO 30 CM DEXSON</t>
  </si>
  <si>
    <t>25687</t>
  </si>
  <si>
    <t>ANTENA ALTA GANANCIA ANT700 3mts</t>
  </si>
  <si>
    <t>5739</t>
  </si>
  <si>
    <t>ARANDELA ACERO INOXIDABLE 1/4"</t>
  </si>
  <si>
    <t>5741</t>
  </si>
  <si>
    <t>ARANDELA ACERO INOXIDABLE 3/8"</t>
  </si>
  <si>
    <t>5742</t>
  </si>
  <si>
    <t>ARANDELA ACERO INOXIDABLE 5/16"</t>
  </si>
  <si>
    <t>5743</t>
  </si>
  <si>
    <t>ARANDELA CUADRADA 4X4 CM</t>
  </si>
  <si>
    <t>5752</t>
  </si>
  <si>
    <t>ARANDELA GALVANIZADA EN CALIENTE 3/8"</t>
  </si>
  <si>
    <t>5753</t>
  </si>
  <si>
    <t>ARANDELA GALVANIZADA EN CALIENTE 5/16"</t>
  </si>
  <si>
    <t>6156</t>
  </si>
  <si>
    <t>ARANDELA TORNILLO M8</t>
  </si>
  <si>
    <t>5754</t>
  </si>
  <si>
    <t>ARANDELA TROPICALIZADA 1/2"</t>
  </si>
  <si>
    <t>5755</t>
  </si>
  <si>
    <t>ARANDELA TROPICALIZADA 1/4"</t>
  </si>
  <si>
    <t>5757</t>
  </si>
  <si>
    <t>ARANDELA TROPICALIZADA 3/8”</t>
  </si>
  <si>
    <t>5758</t>
  </si>
  <si>
    <t>ARANDELA TROPICALIZADA 5/16”</t>
  </si>
  <si>
    <t>5759</t>
  </si>
  <si>
    <t>ARANDELA ZINCADA 1/2"</t>
  </si>
  <si>
    <t>18414</t>
  </si>
  <si>
    <t>AVELLANADOR 5/8-PULG VÁSTAGO HEXAGONAL 1/4-PULG</t>
  </si>
  <si>
    <t>39712</t>
  </si>
  <si>
    <t>BANDEJA PORTACABLES ESCALERA TIPO A 30X8 GALVANIZADA EN CALIENTE</t>
  </si>
  <si>
    <t>39813</t>
  </si>
  <si>
    <t>BANDEJA PORTACABLES ESCALERA TIPO A 40X8 GALVANIZADO EN CALIENTE</t>
  </si>
  <si>
    <t>39713</t>
  </si>
  <si>
    <t>BANDEJA PORTACABLES ESCALERA TIPO A 50X8 GALVANIZADA EN CALIENTE</t>
  </si>
  <si>
    <t>7299</t>
  </si>
  <si>
    <t>BANDEJA PORTACABLES ESCALERA TIPO B 10X5</t>
  </si>
  <si>
    <t>7300</t>
  </si>
  <si>
    <t>BANDEJA PORTACABLES ESCALERA TIPO B 10X8</t>
  </si>
  <si>
    <t>35782</t>
  </si>
  <si>
    <t>BANDEJA PORTACABLES ESCALERA TIPO B 50X8</t>
  </si>
  <si>
    <t>5359</t>
  </si>
  <si>
    <t>BARRA DE COBRE</t>
  </si>
  <si>
    <t>5360</t>
  </si>
  <si>
    <t>BARRA DE COBRE CON AISLADORES</t>
  </si>
  <si>
    <t>5361</t>
  </si>
  <si>
    <t>BARRA DE COBRE ESCALONADA</t>
  </si>
  <si>
    <t>24475</t>
  </si>
  <si>
    <t>BASE METÁLICA PARA PUNTA CAPTADORA ALUMINIO DE 5/8 ESCUÁLIDA</t>
  </si>
  <si>
    <t>7309</t>
  </si>
  <si>
    <t>BASE PERFIL SENCILLA CORTA</t>
  </si>
  <si>
    <t>7310</t>
  </si>
  <si>
    <t>BASE PERFIL SENCILLA LARGA</t>
  </si>
  <si>
    <t>9884</t>
  </si>
  <si>
    <t>BASE SOPORTE PLASTICO CONDUCTOR DEHMsnap D40mm Art 297025</t>
  </si>
  <si>
    <t>7688</t>
  </si>
  <si>
    <t>BOQUILLA Y CONTRATUERCA CON POLO A TIERRA 1 1/4"</t>
  </si>
  <si>
    <t>7074</t>
  </si>
  <si>
    <t>BORNE DE PASO 1X2 20-4 AWG 76A 800V 12MM WAGO</t>
  </si>
  <si>
    <t>7075</t>
  </si>
  <si>
    <t>BORNE DE PASO 1X2 20-8 AWG 41A 800V 7.5MM WAGO</t>
  </si>
  <si>
    <t>45495</t>
  </si>
  <si>
    <t>BORNERA DE PRUEBA Y CONEXION TRIFASICA BLOX</t>
  </si>
  <si>
    <t>23773</t>
  </si>
  <si>
    <t>BROCA ACERO RAPIDO 1/2</t>
  </si>
  <si>
    <t>18412</t>
  </si>
  <si>
    <t>BROCA ACERO RÁPIDO 3/16"</t>
  </si>
  <si>
    <t>5767</t>
  </si>
  <si>
    <t>BROCA ACERO 1/4"</t>
  </si>
  <si>
    <t>41094</t>
  </si>
  <si>
    <t>BROCA ESCALONADA  1/8 - 1/2</t>
  </si>
  <si>
    <t>41095</t>
  </si>
  <si>
    <t>BROCA ESCALONADA 1/4 - 3/4</t>
  </si>
  <si>
    <t>35509</t>
  </si>
  <si>
    <t>BROCA ESCALONADA 1/8"</t>
  </si>
  <si>
    <t>5774</t>
  </si>
  <si>
    <t>BROCA ESCALONADA 3/16"</t>
  </si>
  <si>
    <t>41096</t>
  </si>
  <si>
    <t>BROCA ESCALONADA 3/16 - 7/8 - 3/8"</t>
  </si>
  <si>
    <t>5777</t>
  </si>
  <si>
    <t>BROCA LAMINA 1/4"</t>
  </si>
  <si>
    <t>5778</t>
  </si>
  <si>
    <t>BROCA LAMINA 3/8"</t>
  </si>
  <si>
    <t>5779</t>
  </si>
  <si>
    <t>BROCA LAMINA 5/16"</t>
  </si>
  <si>
    <t>5781</t>
  </si>
  <si>
    <t>BROCA MURO 1/4"</t>
  </si>
  <si>
    <t>35165</t>
  </si>
  <si>
    <t>BROCA MURO 3/16"</t>
  </si>
  <si>
    <t>5782</t>
  </si>
  <si>
    <t>BROCA MURO 3/4"</t>
  </si>
  <si>
    <t>5784</t>
  </si>
  <si>
    <t>BROCA MURO 5/16"</t>
  </si>
  <si>
    <t>18411</t>
  </si>
  <si>
    <t>BROCA PARA CONCRETO 1/8"</t>
  </si>
  <si>
    <t>18410</t>
  </si>
  <si>
    <t>BROCA PARA CONCRETO 5/8"</t>
  </si>
  <si>
    <t>18409</t>
  </si>
  <si>
    <t>BROCA SDS PLUS PARA CONCRETO 1/2"</t>
  </si>
  <si>
    <t>35584</t>
  </si>
  <si>
    <t>BROCA SDS PLUS PARA CONCRETO 1/4"</t>
  </si>
  <si>
    <t>41506</t>
  </si>
  <si>
    <t>BROCA SDS PLUS PARA CONCRETO 3/8”</t>
  </si>
  <si>
    <t>BUFF PROTECCION FACIAL</t>
  </si>
  <si>
    <t>8442</t>
  </si>
  <si>
    <t>CABLE ALUMINIO AISLADO 1/0 AWG</t>
  </si>
  <si>
    <t>9120</t>
  </si>
  <si>
    <t>CABLE ALUMINIO AISLADO 2 AWG</t>
  </si>
  <si>
    <t>8443</t>
  </si>
  <si>
    <t>CABLE ALUMINIO AISLADO 2/0 AWG</t>
  </si>
  <si>
    <t>41693</t>
  </si>
  <si>
    <t>CABLE ALUMINIO AISLADO 350 KCMIL 600V</t>
  </si>
  <si>
    <t>8445</t>
  </si>
  <si>
    <t>CABLE ALUMINIO AISLADO 4 AWG</t>
  </si>
  <si>
    <t>8446</t>
  </si>
  <si>
    <t>CABLE ALUMINIO AISLADO 4/0 AWG</t>
  </si>
  <si>
    <t>4857</t>
  </si>
  <si>
    <t>CABLE ALUMINIO DESNUDO 4 AWG</t>
  </si>
  <si>
    <t>4859</t>
  </si>
  <si>
    <t>CABLE COBRE AISLADO 7 HILOS AMARILLO 10 AWG</t>
  </si>
  <si>
    <t>4869</t>
  </si>
  <si>
    <t>CABLE COBRE AISLADO 7 HILOS AZUL 10 AWG</t>
  </si>
  <si>
    <t>4877</t>
  </si>
  <si>
    <t>CABLE COBRE AISLADO 7 HILOS AZUL 8 AWG</t>
  </si>
  <si>
    <t>4887</t>
  </si>
  <si>
    <t>CABLE COBRE AISLADO 7 HILOS BLANCO 8 AWG</t>
  </si>
  <si>
    <t>4889</t>
  </si>
  <si>
    <t>CABLE COBRE AISLADO 7 HILOS NEGRO 1/0 AWG</t>
  </si>
  <si>
    <t>4894</t>
  </si>
  <si>
    <t>CABLE COBRE AISLADO 7 HILOS NEGRO 12 AWG HF</t>
  </si>
  <si>
    <t>4897</t>
  </si>
  <si>
    <t>CABLE COBRE AISLADO 7 HILOS NEGRO 2 AWG</t>
  </si>
  <si>
    <t>4901</t>
  </si>
  <si>
    <t>CABLE COBRE AISLADO 7 HILOS NEGRO 4 AWG</t>
  </si>
  <si>
    <t>4902</t>
  </si>
  <si>
    <t>CABLE COBRE AISLADO 7 HILOS NEGRO 4 AWG HF</t>
  </si>
  <si>
    <t>4905</t>
  </si>
  <si>
    <t>CABLE COBRE AISLADO 7 HILOS NEGRO 6 AWG</t>
  </si>
  <si>
    <t>4906</t>
  </si>
  <si>
    <t>CABLE COBRE AISLADO 7 HILOS NEGRO 6 AWG HF</t>
  </si>
  <si>
    <t>4907</t>
  </si>
  <si>
    <t>CABLE COBRE AISLADO 7 HILOS NEGRO 8 AWG</t>
  </si>
  <si>
    <t>4908</t>
  </si>
  <si>
    <t>CABLE COBRE AISLADO 7 HILOS NEGRO 8 AWG HF</t>
  </si>
  <si>
    <t>4909</t>
  </si>
  <si>
    <t>CABLE COBRE AISLADO 7 HILOS ROJO 10 AWG</t>
  </si>
  <si>
    <t>4915</t>
  </si>
  <si>
    <t>CABLE COBRE AISLADO 7 HILOS ROJO 8 AWG</t>
  </si>
  <si>
    <t>4918</t>
  </si>
  <si>
    <t>CABLE COBRE AISLADO 7 HILOS VERDE 10 AWG HF</t>
  </si>
  <si>
    <t>4925</t>
  </si>
  <si>
    <t>CABLE COBRE AISLADO 7 HILOS VERDE 6 AWG</t>
  </si>
  <si>
    <t>4927</t>
  </si>
  <si>
    <t>CABLE COBRE AISLADO 7 HILOS VERDE 8 AWG</t>
  </si>
  <si>
    <t>4931</t>
  </si>
  <si>
    <t>CABLE COBRE DESNUDO 2 AWG</t>
  </si>
  <si>
    <t>4934</t>
  </si>
  <si>
    <t>CABLE COBRE DESNUDO 6 AWG</t>
  </si>
  <si>
    <t>4935</t>
  </si>
  <si>
    <t>CABLE COBRE DESNUDO 8 AWG</t>
  </si>
  <si>
    <t>4947</t>
  </si>
  <si>
    <t>CABLE ENCAUCHETADO 3X10 AWG</t>
  </si>
  <si>
    <t>4948</t>
  </si>
  <si>
    <t>CABLE ENCAUCHETADO 3X12 AWG</t>
  </si>
  <si>
    <t>4949</t>
  </si>
  <si>
    <t>CABLE ENCAUCHETADO 3X14 AWG</t>
  </si>
  <si>
    <t>4951</t>
  </si>
  <si>
    <t>CABLE ENCAUCHETADO 3X8 AWG</t>
  </si>
  <si>
    <t>4982</t>
  </si>
  <si>
    <t>CABLE INSTRUMENTACION APANTALLADO 4X18 AWG</t>
  </si>
  <si>
    <t>42904</t>
  </si>
  <si>
    <t>CABLE MICRO USB TIPO B8 1.5 m</t>
  </si>
  <si>
    <t>8052</t>
  </si>
  <si>
    <t>CABLE SOLAR NEGRO 1KV 4MM</t>
  </si>
  <si>
    <t>4989</t>
  </si>
  <si>
    <t>CABLE SOLAR NEGRO 1KV 6MM HF</t>
  </si>
  <si>
    <t>46606</t>
  </si>
  <si>
    <t>CABLE SOLAR NEGRO 6MM 2KV HF_AD8</t>
  </si>
  <si>
    <t>8054</t>
  </si>
  <si>
    <t>CABLE SOLAR ROJO 1KV 4MM HF</t>
  </si>
  <si>
    <t>4991</t>
  </si>
  <si>
    <t>CABLE SOLAR ROJO 1KV 6MM HF</t>
  </si>
  <si>
    <t>4993</t>
  </si>
  <si>
    <t>CABLE SOLDADOR 2 AWG</t>
  </si>
  <si>
    <t>40436</t>
  </si>
  <si>
    <t>CABLE TELDOR RS-422/485 2x2x22/7 AWG SF/FTP PVC/PVC</t>
  </si>
  <si>
    <t>33028</t>
  </si>
  <si>
    <t>CABLE TELDOR RS485 2 HILOS</t>
  </si>
  <si>
    <t>5366</t>
  </si>
  <si>
    <t>CAJA CON TAPA PARA TOMA 12X12X5 TERCOL</t>
  </si>
  <si>
    <t>40138</t>
  </si>
  <si>
    <t>CAJA DE PASO METÁLICA 20 X 20 X 10 CON CHAPA DE LLAVE EJG</t>
  </si>
  <si>
    <t>5369</t>
  </si>
  <si>
    <t>CAJA DE PASO METALICA 20X20X10</t>
  </si>
  <si>
    <t>41079</t>
  </si>
  <si>
    <t>CAJA DE PASO METALICA 20X20X15</t>
  </si>
  <si>
    <t>40036</t>
  </si>
  <si>
    <t>CAJA DE PASO PLASTICA 10X10X7</t>
  </si>
  <si>
    <t>33237</t>
  </si>
  <si>
    <t>CAJA DE PASO PLASTICA 11X11X8</t>
  </si>
  <si>
    <t>12084</t>
  </si>
  <si>
    <t>CAJA DE PASO PLASTICA 114X114X107MM KOWET</t>
  </si>
  <si>
    <t>9080</t>
  </si>
  <si>
    <t>CAJA DE PASO PLASTICA 21X21X14MM KOWET K2121-14</t>
  </si>
  <si>
    <t>8382</t>
  </si>
  <si>
    <t>CAJA DE PASO PLASTICA 316X316X162MM KOWET K3131-162</t>
  </si>
  <si>
    <t>8386</t>
  </si>
  <si>
    <t>CAJA DERIVACION 23X29X11 KOWET</t>
  </si>
  <si>
    <t>8390</t>
  </si>
  <si>
    <t>CAJA INSPECCION TIERRA POLICARBONATO 20X20</t>
  </si>
  <si>
    <t>43781</t>
  </si>
  <si>
    <t>CAJA INSPECCION TIERRA POLICARBONATO 30X30</t>
  </si>
  <si>
    <t>9085</t>
  </si>
  <si>
    <t>CAJA PLASTICA CON DOBLE FONDO 28X21X13 FAMATEL</t>
  </si>
  <si>
    <t>5388</t>
  </si>
  <si>
    <t>CAJA POLICARBONATO DOBLE FONDO 40X30X25 SCHNEIDER</t>
  </si>
  <si>
    <t>5387</t>
  </si>
  <si>
    <t>CAJA POLICARBONATO 30X22X12 IP55 STECK</t>
  </si>
  <si>
    <t>42198</t>
  </si>
  <si>
    <t>CAJA RADWELT 4X2 SALIDAS 1/2</t>
  </si>
  <si>
    <t>31189</t>
  </si>
  <si>
    <t>CAJA RADWELT 4X2 SALIDAS 3/4</t>
  </si>
  <si>
    <t>45635</t>
  </si>
  <si>
    <t>CAJA RADWELT 4X4 SALIDAS 1/2</t>
  </si>
  <si>
    <t>31188</t>
  </si>
  <si>
    <t>CAJA RADWELT 4X4 SALIDAS 3/4</t>
  </si>
  <si>
    <t>5789</t>
  </si>
  <si>
    <t>CAPUCHON NEOPRENO PARA TORNILLO AUTOPERFORANTE PUNTA BROCA</t>
  </si>
  <si>
    <t>CELDA DE MEDIDA MT - PRS-25-0140 - UM PICHINCHA (EPM)</t>
  </si>
  <si>
    <t>CELDA DE SECCIONADOR MT - PRS-25-0140 UM PICHINCHA (EPM)</t>
  </si>
  <si>
    <t>CELDA DE TRANSFORMADOR MT - PRS-25-0140 UM PICHINCHA (EPM)</t>
  </si>
  <si>
    <t>5791</t>
  </si>
  <si>
    <t>CHAZO EXPANSIVO METALICO 1/2" X 3"</t>
  </si>
  <si>
    <t>36037</t>
  </si>
  <si>
    <t>CHAZO EXPANSIVO METALICO 3/8" X 2"</t>
  </si>
  <si>
    <t>8484</t>
  </si>
  <si>
    <t>CHAZO EXPANSIVO METALICO 3/8" X 2 1/2"</t>
  </si>
  <si>
    <t>5799</t>
  </si>
  <si>
    <t>CHAZO EXPANSIVO METALICO 5/16" X 2"</t>
  </si>
  <si>
    <t>5800</t>
  </si>
  <si>
    <t>CHAZO EXPANSIVO METALICO 5/16" X 2-1/2"</t>
  </si>
  <si>
    <t>5801</t>
  </si>
  <si>
    <t>CHAZO MARIPOSA METALICO 1/4"</t>
  </si>
  <si>
    <t>5802</t>
  </si>
  <si>
    <t>CHAZO MARIPOSA METALICO 3/16"</t>
  </si>
  <si>
    <t>5803</t>
  </si>
  <si>
    <t>CHAZO MARIPOSA METALICO 3/8"</t>
  </si>
  <si>
    <t>5804</t>
  </si>
  <si>
    <t>CHAZO MARIPOSA PLASTICO BEIGE 1/4"</t>
  </si>
  <si>
    <t>14838</t>
  </si>
  <si>
    <t>CHAZO MARIPOSA PLASTICO BEIGE 3/8"</t>
  </si>
  <si>
    <t>35506</t>
  </si>
  <si>
    <t>CHAZO MARIPOSA PLASTICO BEIGE 5/16"</t>
  </si>
  <si>
    <t>8487</t>
  </si>
  <si>
    <t>CHAZO RL 1/2"</t>
  </si>
  <si>
    <t>5399</t>
  </si>
  <si>
    <t>CHISPERO SOLDADURA EXOTERMICA</t>
  </si>
  <si>
    <t>5401</t>
  </si>
  <si>
    <t>CINTA AISLANTE AMARILLA 3M</t>
  </si>
  <si>
    <t>5402</t>
  </si>
  <si>
    <t>CINTA AISLANTE AZUL 3M</t>
  </si>
  <si>
    <t>5403</t>
  </si>
  <si>
    <t>CINTA AISLANTE BLANCA 3M</t>
  </si>
  <si>
    <t>5404</t>
  </si>
  <si>
    <t>CINTA AISLANTE CAFE 3M</t>
  </si>
  <si>
    <t>5406</t>
  </si>
  <si>
    <t>CINTA AISLANTE MORADA 3M</t>
  </si>
  <si>
    <t>5407</t>
  </si>
  <si>
    <t>CINTA AISLANTE NARANJA 3M</t>
  </si>
  <si>
    <t>5408</t>
  </si>
  <si>
    <t>CINTA AISLANTE NEGRA 3M</t>
  </si>
  <si>
    <t>5409</t>
  </si>
  <si>
    <t>CINTA AISLANTE ROJA 3M</t>
  </si>
  <si>
    <t>5410</t>
  </si>
  <si>
    <t>CINTA AISLANTE VERDE 3M</t>
  </si>
  <si>
    <t>5411</t>
  </si>
  <si>
    <t>CINTA AISLANTE VINILO SCOTCH SUPER 23+ 3M</t>
  </si>
  <si>
    <t>5412</t>
  </si>
  <si>
    <t>CINTA AISLANTE VINILO SCOTCH SUPER 33+ 3M</t>
  </si>
  <si>
    <t>5413</t>
  </si>
  <si>
    <t>CINTA ASFALTICA ALUMINIO 30CM X 10MT TEXA</t>
  </si>
  <si>
    <t>5414</t>
  </si>
  <si>
    <t>CINTA ASFALTICA ALUMINIO 33CM X 5MT TEXA</t>
  </si>
  <si>
    <t>5417</t>
  </si>
  <si>
    <t>CINTA ENMASCARAR 40MM</t>
  </si>
  <si>
    <t>5419</t>
  </si>
  <si>
    <t>CINTA PELIGRO ROJA (RIESGO ELECTRICO)</t>
  </si>
  <si>
    <t>5420</t>
  </si>
  <si>
    <t>CINTA PREVENCION AMARILLA</t>
  </si>
  <si>
    <t>5421</t>
  </si>
  <si>
    <t>CINTA ROTULADOR PAPEL</t>
  </si>
  <si>
    <t>8400</t>
  </si>
  <si>
    <t>CINTA ROTULADOR PLASTICA</t>
  </si>
  <si>
    <t>42457</t>
  </si>
  <si>
    <t>CINTA ROTULADORA VINILO</t>
  </si>
  <si>
    <t>5426</t>
  </si>
  <si>
    <t>CLAVIJA MACHO</t>
  </si>
  <si>
    <t>7756</t>
  </si>
  <si>
    <t>CONDULETA CC 1" INTEMPERIE</t>
  </si>
  <si>
    <t>7757</t>
  </si>
  <si>
    <t>CONDULETA CC 1" INTERIOR</t>
  </si>
  <si>
    <t>7752</t>
  </si>
  <si>
    <t>CONDULETA CC 1 1/2" INTEMPERIE</t>
  </si>
  <si>
    <t>7753</t>
  </si>
  <si>
    <t>CONDULETA CC 1 1/2" INTERIOR</t>
  </si>
  <si>
    <t>7759</t>
  </si>
  <si>
    <t>CONDULETA CC 1/2" INTERIOR</t>
  </si>
  <si>
    <t>7760</t>
  </si>
  <si>
    <t>CONDULETA CC 2" INTEMPERIE</t>
  </si>
  <si>
    <t>7761</t>
  </si>
  <si>
    <t>CONDULETA CC 2" INTERIOR</t>
  </si>
  <si>
    <t>7762</t>
  </si>
  <si>
    <t>CONDULETA CC 3/4" INTEMPERIE</t>
  </si>
  <si>
    <t>7763</t>
  </si>
  <si>
    <t>CONDULETA CC 3/4" INTERIOR</t>
  </si>
  <si>
    <t>7768</t>
  </si>
  <si>
    <t>CONDULETA LB 1" INTEMPERIE</t>
  </si>
  <si>
    <t>7769</t>
  </si>
  <si>
    <t>CONDULETA LB 1" INTERIOR</t>
  </si>
  <si>
    <t>7764</t>
  </si>
  <si>
    <t>CONDULETA LB 1 1/2" INTEMPERIE</t>
  </si>
  <si>
    <t>7765</t>
  </si>
  <si>
    <t>CONDULETA LB 1 1/2" INTERIOR</t>
  </si>
  <si>
    <t>7766</t>
  </si>
  <si>
    <t>CONDULETA LB 1 1/4" INTEMPERIE</t>
  </si>
  <si>
    <t>7767</t>
  </si>
  <si>
    <t>CONDULETA LB 1 1/4" INTERIOR</t>
  </si>
  <si>
    <t>7770</t>
  </si>
  <si>
    <t>CONDULETA LB 1/2" INTEMPERIE</t>
  </si>
  <si>
    <t>7771</t>
  </si>
  <si>
    <t>CONDULETA LB 1/2" INTERIOR</t>
  </si>
  <si>
    <t>7772</t>
  </si>
  <si>
    <t>CONDULETA LB 2" INTEMPERIE</t>
  </si>
  <si>
    <t>7773</t>
  </si>
  <si>
    <t>CONDULETA LB 2" INTERIOR</t>
  </si>
  <si>
    <t>8793</t>
  </si>
  <si>
    <t>CONDULETA LB 3" INTEMPERIE</t>
  </si>
  <si>
    <t>9339</t>
  </si>
  <si>
    <t>CONDULETA LB 3" INTERIOR</t>
  </si>
  <si>
    <t>7774</t>
  </si>
  <si>
    <t>CONDULETA LB 3/4" INTEMPERIE</t>
  </si>
  <si>
    <t>7775</t>
  </si>
  <si>
    <t>CONDULETA LB 3/4" INTERIOR</t>
  </si>
  <si>
    <t>7781</t>
  </si>
  <si>
    <t>CONDULETA LL 1" INTERIOR</t>
  </si>
  <si>
    <t>7776</t>
  </si>
  <si>
    <t>CONDULETA LL 1 1/2" INTEMPERIE</t>
  </si>
  <si>
    <t>7777</t>
  </si>
  <si>
    <t>CONDULETA LL 1 1/2" INTERIOR</t>
  </si>
  <si>
    <t>7778</t>
  </si>
  <si>
    <t>7779</t>
  </si>
  <si>
    <t>CONDULETA LL 1 1/4" INTERIOR</t>
  </si>
  <si>
    <t>7784</t>
  </si>
  <si>
    <t>CONDULETA LL 2" INTEMPERIE</t>
  </si>
  <si>
    <t>7785</t>
  </si>
  <si>
    <t>CONDULETA LL 2" INTERIOR</t>
  </si>
  <si>
    <t>41656</t>
  </si>
  <si>
    <t>CONDULETA LL 3" INTEMPERIE</t>
  </si>
  <si>
    <t>41655</t>
  </si>
  <si>
    <t>CONDULETA LL 3" INTERIOR</t>
  </si>
  <si>
    <t>7786</t>
  </si>
  <si>
    <t>CONDULETA LL 3/4" INTEMPERIE</t>
  </si>
  <si>
    <t>7787</t>
  </si>
  <si>
    <t>CONDULETA LL 3/4" INTERIOR</t>
  </si>
  <si>
    <t>7792</t>
  </si>
  <si>
    <t>CONDULETA LR 1" INTEMPERIE</t>
  </si>
  <si>
    <t>7793</t>
  </si>
  <si>
    <t>CONDULETA LR 1" INTERIOR</t>
  </si>
  <si>
    <t>7788</t>
  </si>
  <si>
    <t>CONDULETA LR 1 1/2" INTEMPERIE</t>
  </si>
  <si>
    <t>7789</t>
  </si>
  <si>
    <t>CONDULETA LR 1 1/2" INTERIOR</t>
  </si>
  <si>
    <t>7790</t>
  </si>
  <si>
    <t>CONDULETA LR 1 1/4" INTEMPERIE</t>
  </si>
  <si>
    <t>7791</t>
  </si>
  <si>
    <t>CONDULETA LR 1 1/4" INTERIOR</t>
  </si>
  <si>
    <t>7795</t>
  </si>
  <si>
    <t>CONDULETA LR 1/2" INTERIOR</t>
  </si>
  <si>
    <t>7797</t>
  </si>
  <si>
    <t>CONDULETA LR 2" INTERIOR</t>
  </si>
  <si>
    <t>17785</t>
  </si>
  <si>
    <t>CONDULETA LR 3" INTEMPERIE</t>
  </si>
  <si>
    <t>7798</t>
  </si>
  <si>
    <t>CONDULETA LR 3/4" INTEMPERIE</t>
  </si>
  <si>
    <t>7799</t>
  </si>
  <si>
    <t>CONDULETA LR 3/4" INTERIOR</t>
  </si>
  <si>
    <t>7804</t>
  </si>
  <si>
    <t>CONDULETA T 1" INTEMPERIE</t>
  </si>
  <si>
    <t>7800</t>
  </si>
  <si>
    <t>CONDULETA T 1 1/2" INTEMPERIE</t>
  </si>
  <si>
    <t>7807</t>
  </si>
  <si>
    <t>CONDULETA T 1/2" INTERIOR</t>
  </si>
  <si>
    <t>41654</t>
  </si>
  <si>
    <t>CONDULETA T 3" INTEMPERIE</t>
  </si>
  <si>
    <t>CONECTOR COMPRESION C 6 AWG</t>
  </si>
  <si>
    <t>8404</t>
  </si>
  <si>
    <t>CONECTOR COMPRESION C 8 AWG</t>
  </si>
  <si>
    <t>5429</t>
  </si>
  <si>
    <t>CONECTOR CORAZA CURVO 1"</t>
  </si>
  <si>
    <t>5427</t>
  </si>
  <si>
    <t>CONECTOR CORAZA CURVO 1 1/2"</t>
  </si>
  <si>
    <t>5428</t>
  </si>
  <si>
    <t>CONECTOR CORAZA CURVO 1 1/4"</t>
  </si>
  <si>
    <t>5431</t>
  </si>
  <si>
    <t>CONECTOR CORAZA CURVO 2"</t>
  </si>
  <si>
    <t>5430</t>
  </si>
  <si>
    <t>CONECTOR CORAZA CURVO 2 1/2"</t>
  </si>
  <si>
    <t>8406</t>
  </si>
  <si>
    <t>CONECTOR CORAZA CURVO 3"</t>
  </si>
  <si>
    <t>5432</t>
  </si>
  <si>
    <t>CONECTOR CORAZA CURVO 3/4"</t>
  </si>
  <si>
    <t>5435</t>
  </si>
  <si>
    <t>CONECTOR CORAZA RECTO 1"</t>
  </si>
  <si>
    <t>5433</t>
  </si>
  <si>
    <t>CONECTOR CORAZA RECTO 1 1/2"</t>
  </si>
  <si>
    <t>5434</t>
  </si>
  <si>
    <t>CONECTOR CORAZA RECTO 1 1/4"</t>
  </si>
  <si>
    <t>5436</t>
  </si>
  <si>
    <t>CONECTOR CORAZA RECTO 1/2"</t>
  </si>
  <si>
    <t>5438</t>
  </si>
  <si>
    <t>CONECTOR CORAZA RECTO 2"</t>
  </si>
  <si>
    <t>5437</t>
  </si>
  <si>
    <t>CONECTOR CORAZA RECTO 2 1/2"</t>
  </si>
  <si>
    <t>8407</t>
  </si>
  <si>
    <t>CONECTOR CORAZA RECTO 3"</t>
  </si>
  <si>
    <t>5439</t>
  </si>
  <si>
    <t>CONECTOR CORAZA RECTO 3/4"</t>
  </si>
  <si>
    <t>10697</t>
  </si>
  <si>
    <t>CONECTOR CORAZA RECTO 4"</t>
  </si>
  <si>
    <t>44126</t>
  </si>
  <si>
    <t>CONECTOR JK03M HEMBRA</t>
  </si>
  <si>
    <t>44125</t>
  </si>
  <si>
    <t>CONECTOR JK03M MACHO</t>
  </si>
  <si>
    <t>5210</t>
  </si>
  <si>
    <t>CONECTOR MC4 HEMBRA</t>
  </si>
  <si>
    <t>5211</t>
  </si>
  <si>
    <t>CONECTOR MC4 MACHO</t>
  </si>
  <si>
    <t>7316</t>
  </si>
  <si>
    <t>CONECTOR PERFIL PERPENDICULAR 4X4 (OMEGA) GALVANIZADO EN CALIENTE</t>
  </si>
  <si>
    <t>5216</t>
  </si>
  <si>
    <t>CONECTOR TUBULAR BARRIL 2/0 AWG</t>
  </si>
  <si>
    <t>9886</t>
  </si>
  <si>
    <t>CONECTOR VARIABLE BIMETALICO RD8-10-DEHM REF.MVK8.10CU AL Art 390657</t>
  </si>
  <si>
    <t>9887</t>
  </si>
  <si>
    <t>CONECTOR VARIABLE UNIVERSAL ALUMINIO RD 2x8-10mm Art 390061</t>
  </si>
  <si>
    <t>5441</t>
  </si>
  <si>
    <t>CONECTOR VARILLA COPPERWELD</t>
  </si>
  <si>
    <t>36268</t>
  </si>
  <si>
    <t>COPA SIERRA MURO 2"</t>
  </si>
  <si>
    <t>5807</t>
  </si>
  <si>
    <t>COPA SIERRA 1"</t>
  </si>
  <si>
    <t>5805</t>
  </si>
  <si>
    <t>COPA SIERRA 1 1/2"</t>
  </si>
  <si>
    <t>5806</t>
  </si>
  <si>
    <t>COPA SIERRA 1 1/4"</t>
  </si>
  <si>
    <t>9160</t>
  </si>
  <si>
    <t>COPA SIERRA 2"</t>
  </si>
  <si>
    <t>28025</t>
  </si>
  <si>
    <t>COPA SIERRA 2 1/2"</t>
  </si>
  <si>
    <t>41291</t>
  </si>
  <si>
    <t>COPA SIERRA 3 "</t>
  </si>
  <si>
    <t>5809</t>
  </si>
  <si>
    <t>COPA SIERRA 3/4"</t>
  </si>
  <si>
    <t>7814</t>
  </si>
  <si>
    <t>CORAZA AMERICANA 1"</t>
  </si>
  <si>
    <t>7812</t>
  </si>
  <si>
    <t>CORAZA AMERICANA 1 1/2"</t>
  </si>
  <si>
    <t>7813</t>
  </si>
  <si>
    <t>CORAZA AMERICANA 1 1/4"</t>
  </si>
  <si>
    <t>7816</t>
  </si>
  <si>
    <t>CORAZA AMERICANA 2"</t>
  </si>
  <si>
    <t>9342</t>
  </si>
  <si>
    <t>CORAZA AMERICANA 3"</t>
  </si>
  <si>
    <t>7817</t>
  </si>
  <si>
    <t>CORAZA AMERICANA 3/4"</t>
  </si>
  <si>
    <t>8795</t>
  </si>
  <si>
    <t>CORAZA FLEXIBLE VERDE 3/4 “</t>
  </si>
  <si>
    <t>7333</t>
  </si>
  <si>
    <t>CURVA BANDEJA HORIZONTAL 90° 10X5</t>
  </si>
  <si>
    <t>7334</t>
  </si>
  <si>
    <t>CURVA BANDEJA HORIZONTAL 90° 10X8</t>
  </si>
  <si>
    <t>7336</t>
  </si>
  <si>
    <t>CURVA BANDEJA HORIZONTAL 90° 20X8</t>
  </si>
  <si>
    <t>7338</t>
  </si>
  <si>
    <t>CURVA BANDEJA HORIZONTAL 90° 30X8</t>
  </si>
  <si>
    <t>7340</t>
  </si>
  <si>
    <t>CURVA BANDEJA HORIZONTAL 90° 40X8</t>
  </si>
  <si>
    <t>CURVA BANDEJA HORIZONTAL 90° 50X8</t>
  </si>
  <si>
    <t>7350</t>
  </si>
  <si>
    <t>CURVA BANDEJA VERTICAL EXTERIOR 90° 10X8</t>
  </si>
  <si>
    <t>7352</t>
  </si>
  <si>
    <t>CURVA BANDEJA VERTICAL EXTERIOR 90° 20X8</t>
  </si>
  <si>
    <t>7354</t>
  </si>
  <si>
    <t>CURVA BANDEJA VERTICAL EXTERIOR 90° 30X8</t>
  </si>
  <si>
    <t>7356</t>
  </si>
  <si>
    <t>CURVA BANDEJA VERTICAL EXTERIOR 90° 40X8</t>
  </si>
  <si>
    <t>7366</t>
  </si>
  <si>
    <t>CURVA BANDEJA VERTICAL INTERIOR 90° 10X8</t>
  </si>
  <si>
    <t>7368</t>
  </si>
  <si>
    <t>CURVA BANDEJA VERTICAL INTERIOR 90° 20X8</t>
  </si>
  <si>
    <t>7370</t>
  </si>
  <si>
    <t>CURVA BANDEJA VERTICAL INTERIOR 90° 30X8</t>
  </si>
  <si>
    <t>7372</t>
  </si>
  <si>
    <t>CURVA BANDEJA VERTICAL INTERIOR 90° 40X8</t>
  </si>
  <si>
    <t>14216</t>
  </si>
  <si>
    <t>CURVA BANDEJA VERTICAL INTERIOR 90° 50X8.</t>
  </si>
  <si>
    <t>7820</t>
  </si>
  <si>
    <t>CURVA CONDUIT PVC (SCH 40) 1"</t>
  </si>
  <si>
    <t>7826</t>
  </si>
  <si>
    <t>CURVA CONDUIT PVC 1"</t>
  </si>
  <si>
    <t>7824</t>
  </si>
  <si>
    <t>CURVA CONDUIT PVC 1 1/2"</t>
  </si>
  <si>
    <t>7825</t>
  </si>
  <si>
    <t>CURVA CONDUIT PVC 1 1/4"</t>
  </si>
  <si>
    <t>7827</t>
  </si>
  <si>
    <t>CURVA CONDUIT PVC 1/2"</t>
  </si>
  <si>
    <t>7829</t>
  </si>
  <si>
    <t>CURVA CONDUIT PVC 2"</t>
  </si>
  <si>
    <t>7831</t>
  </si>
  <si>
    <t>CURVA CONDUIT PVC 3/4"</t>
  </si>
  <si>
    <t>7834</t>
  </si>
  <si>
    <t>CURVA EMT 1"</t>
  </si>
  <si>
    <t>7832</t>
  </si>
  <si>
    <t>CURVA EMT 1 1/2"</t>
  </si>
  <si>
    <t>7835</t>
  </si>
  <si>
    <t>CURVA EMT 1/2"</t>
  </si>
  <si>
    <t>7837</t>
  </si>
  <si>
    <t>CURVA EMT 2"</t>
  </si>
  <si>
    <t>9343</t>
  </si>
  <si>
    <t>CURVA EMT 3"</t>
  </si>
  <si>
    <t>7838</t>
  </si>
  <si>
    <t>CURVA EMT 3/4"</t>
  </si>
  <si>
    <t>7841</t>
  </si>
  <si>
    <t>CURVA IMC 1"</t>
  </si>
  <si>
    <t>7839</t>
  </si>
  <si>
    <t>CURVA IMC 1 1/2"</t>
  </si>
  <si>
    <t>7844</t>
  </si>
  <si>
    <t>CURVA IMC 2"</t>
  </si>
  <si>
    <t>7845</t>
  </si>
  <si>
    <t>CURVA IMC 3/4"</t>
  </si>
  <si>
    <t>6163</t>
  </si>
  <si>
    <t>DISCO ALUMINIO 3MM ESPESOR 150MM</t>
  </si>
  <si>
    <t>18403</t>
  </si>
  <si>
    <t>DISCO CORTE ALUMINIO 10-PULG 80 DIENTES</t>
  </si>
  <si>
    <t>8555</t>
  </si>
  <si>
    <t>DISCO DE CORTE METAL 4 1/2"</t>
  </si>
  <si>
    <t>14515</t>
  </si>
  <si>
    <t>DISCO DE CORTE PARA TRONZADORA 14"</t>
  </si>
  <si>
    <t>41546</t>
  </si>
  <si>
    <t>DISCO DE DESVASTE DE 4 1/2 PLG</t>
  </si>
  <si>
    <t>18402</t>
  </si>
  <si>
    <t>DISCO DIAMANTADO SEGMENTADO 4-1/2-PULG</t>
  </si>
  <si>
    <t>8662</t>
  </si>
  <si>
    <t>DPS FV20C/2-150S FATECH</t>
  </si>
  <si>
    <t>9224</t>
  </si>
  <si>
    <t>DPS FV20C/3-150S FATECH</t>
  </si>
  <si>
    <t>44154</t>
  </si>
  <si>
    <t>DTU-PRO-S (WIFI) HOYMILES</t>
  </si>
  <si>
    <t>6164</t>
  </si>
  <si>
    <t>ECLAMP 30 MM</t>
  </si>
  <si>
    <t>6165</t>
  </si>
  <si>
    <t>ECLAMP 35 MM</t>
  </si>
  <si>
    <t>6166</t>
  </si>
  <si>
    <t>ECLAMP 40 MM</t>
  </si>
  <si>
    <t>44815</t>
  </si>
  <si>
    <t>ESPUMA EXPANSIVA MULTIUSO 750 ML SOUDAL</t>
  </si>
  <si>
    <t>7500</t>
  </si>
  <si>
    <t>ESPUMA EXPANSIVA SIKA</t>
  </si>
  <si>
    <t>5444</t>
  </si>
  <si>
    <t>ESTOPA</t>
  </si>
  <si>
    <t>39261</t>
  </si>
  <si>
    <t>EXTENSION ANTENA ALTA GANANCIA 5M</t>
  </si>
  <si>
    <t>8411</t>
  </si>
  <si>
    <t>FIJADOR DE ROSCA 50ML LOCTITE</t>
  </si>
  <si>
    <t>41281</t>
  </si>
  <si>
    <t>FUSIBLE 20A</t>
  </si>
  <si>
    <t>GABINETE LITECONTROL MINI-G</t>
  </si>
  <si>
    <t>40425</t>
  </si>
  <si>
    <t>GABINETE PLÁSTICO IP65 KOWET  COD. 84360 REF. KLG 3321 343X348X216MM</t>
  </si>
  <si>
    <t>GABINETE PROTECCION PRS-25-0140 UM PICHINCHA (EPM)</t>
  </si>
  <si>
    <t>GABINETE PROTECCION PRS-25-0152 FINCA VALLES</t>
  </si>
  <si>
    <t>GABINETE PROTECCION PRS-26-0154 CONFETEX AMPLIACION</t>
  </si>
  <si>
    <t>5448</t>
  </si>
  <si>
    <t>GABINETE TAPA GRIS 478X344X216 MM KOWET</t>
  </si>
  <si>
    <t>9093</t>
  </si>
  <si>
    <t>GABINETE 600X400X250 DKC0289</t>
  </si>
  <si>
    <t>9285</t>
  </si>
  <si>
    <t>GABINETE 800X600X300 DKC0287</t>
  </si>
  <si>
    <t>6169</t>
  </si>
  <si>
    <t>GCLAMP PESTAÑA ANCHA</t>
  </si>
  <si>
    <t>6167</t>
  </si>
  <si>
    <t>GCLAMP 3 TORNILLOS</t>
  </si>
  <si>
    <t>6170</t>
  </si>
  <si>
    <t>GROUND CLAMP</t>
  </si>
  <si>
    <t>5449</t>
  </si>
  <si>
    <t>HEBILLA BANDIT 1/2"</t>
  </si>
  <si>
    <t>25375</t>
  </si>
  <si>
    <t>HOYMILES CABLE TRONCAL AC con accesorios</t>
  </si>
  <si>
    <t>34449</t>
  </si>
  <si>
    <t>HUAWEI SUN2000-100KTL-M2</t>
  </si>
  <si>
    <t>7117</t>
  </si>
  <si>
    <t>INTERRUPTOR DIFERENCIAL 1P + N 25A (30mA) LS</t>
  </si>
  <si>
    <t>7118</t>
  </si>
  <si>
    <t>INTERRUPTOR DIFERENCIAL 1P + N 32A (30mA) LS</t>
  </si>
  <si>
    <t>7120</t>
  </si>
  <si>
    <t>INTERRUPTOR DIFERENCIAL 1P + N 40A (30mA) LS</t>
  </si>
  <si>
    <t>7121</t>
  </si>
  <si>
    <t>INTERRUPTOR DIFERENCIAL 1P + N 63A (30mA) LS</t>
  </si>
  <si>
    <t>7131</t>
  </si>
  <si>
    <t>INTERRUPTOR TERMOMAGNETICO ENCHUFABLE BIPOLAR 20A (10KA) LS</t>
  </si>
  <si>
    <t>7132</t>
  </si>
  <si>
    <t>INTERRUPTOR TERMOMAGNETICO ENCHUFABLE BIPOLAR 30A (10KA) LS</t>
  </si>
  <si>
    <t>42388</t>
  </si>
  <si>
    <t>INTERRUPTOR TERMOMAGNETICO ENCHUFABLE BIPOLAR 40A TIVEN LEGRAND 8902/40N</t>
  </si>
  <si>
    <t>7133</t>
  </si>
  <si>
    <t>INTERRUPTOR TERMOMAGNETICO ENCHUFABLE BIPOLAR 40A (10KA) LS</t>
  </si>
  <si>
    <t>7135</t>
  </si>
  <si>
    <t>INTERRUPTOR TERMOMAGNETICO ENCHUFABLE BIPOLAR 50A (10KA) LS</t>
  </si>
  <si>
    <t>7139</t>
  </si>
  <si>
    <t>INTERRUPTOR TERMOMAGNETICO ENCHUFABLE MONOPOLAR 15A (10KA) LS</t>
  </si>
  <si>
    <t>7147</t>
  </si>
  <si>
    <t>INTERRUPTOR TERMOMAGNETICO ENCHUFABLE TRIPOLAR 20A (10KA) LS</t>
  </si>
  <si>
    <t>7154</t>
  </si>
  <si>
    <t>INTERRUPTOR TERMOMAGNETICO INDUSTRIAL BIPOLAR 100A (35KA) LS</t>
  </si>
  <si>
    <t>7161</t>
  </si>
  <si>
    <t>INTERRUPTOR TERMOMAGNETICO INDUSTRIAL BIPOLAR 30A (30KA) LS</t>
  </si>
  <si>
    <t>7163</t>
  </si>
  <si>
    <t>INTERRUPTOR TERMOMAGNETICO INDUSTRIAL BIPOLAR 40A (30KA) LS</t>
  </si>
  <si>
    <t>15459</t>
  </si>
  <si>
    <t>INTERRUPTOR TERMOMAGNÉTICO INDUSTRIAL TRIPOLAR SERIE SUSOL 400-500A (65KA) LS</t>
  </si>
  <si>
    <t>41285</t>
  </si>
  <si>
    <t>INTERRUPTOR TERMOMAGNETICO INDUSTRIAL TRIPOLAR 100A (50KA) LS</t>
  </si>
  <si>
    <t>7192</t>
  </si>
  <si>
    <t>INTERRUPTOR TERMOMAGNETICO INDUSTRIAL TRIPOLAR 175A (65KA) LS</t>
  </si>
  <si>
    <t>7194</t>
  </si>
  <si>
    <t>INTERRUPTOR TERMOMAGNETICO INDUSTRIAL TRIPOLAR 200A (65KA) LS</t>
  </si>
  <si>
    <t>7210</t>
  </si>
  <si>
    <t>INTERRUPTOR TERMOMAGNETICO INDUSTRIAL TRIPOLAR 40A (30KA) LS</t>
  </si>
  <si>
    <t>INTERRUPTOR TERMOMAGNETICO INDUSTRIAL TRIPOLAR  175A (50KA)</t>
  </si>
  <si>
    <t>7233</t>
  </si>
  <si>
    <t>INTERRUPTOR TERMOMAGNETICO PARA RIEL DIN BIPOLAR 20A (10KA) LS</t>
  </si>
  <si>
    <t>7234</t>
  </si>
  <si>
    <t>INTERRUPTOR TERMOMAGNETICO PARA RIEL DIN BIPOLAR 25A (10KA) LS</t>
  </si>
  <si>
    <t>7236</t>
  </si>
  <si>
    <t>INTERRUPTOR TERMOMAGNETICO PARA RIEL DIN BIPOLAR 32A (10KA) LS</t>
  </si>
  <si>
    <t>7241</t>
  </si>
  <si>
    <t>INTERRUPTOR TERMOMAGNETICO PARA RIEL DIN BIPOLAR 50A (10KA) LS</t>
  </si>
  <si>
    <t>7242</t>
  </si>
  <si>
    <t>INTERRUPTOR TERMOMAGNETICO PARA RIEL DIN BIPOLAR 63A (10KA) LS</t>
  </si>
  <si>
    <t>7247</t>
  </si>
  <si>
    <t>INTERRUPTOR TERMOMAGNETICO PARA RIEL DIN MONOPOLAR 20A (10KA) LS</t>
  </si>
  <si>
    <t>7259</t>
  </si>
  <si>
    <t>INTERRUPTOR TERMOMAGNETICO PARA RIEL DIN TRIPOLAR 16A (10KA) LS</t>
  </si>
  <si>
    <t>7261</t>
  </si>
  <si>
    <t>INTERRUPTOR TERMOMAGNETICO PARA RIEL DIN TRIPOLAR 20A (10KA) LS</t>
  </si>
  <si>
    <t>7262</t>
  </si>
  <si>
    <t>INTERRUPTOR TERMOMAGNETICO PARA RIEL DIN TRIPOLAR 25A (10KA) LS</t>
  </si>
  <si>
    <t>7264</t>
  </si>
  <si>
    <t>INTERRUPTOR TERMOMAGNETICO PARA RIEL DIN TRIPOLAR 32A (10KA) LS</t>
  </si>
  <si>
    <t>7269</t>
  </si>
  <si>
    <t>INTERRUPTOR TERMOMAGNETICO PARA RIEL DIN TRIPOLAR 63A (10KA) LS</t>
  </si>
  <si>
    <t>39795</t>
  </si>
  <si>
    <t>JINKO 580Wp</t>
  </si>
  <si>
    <t>45444</t>
  </si>
  <si>
    <t>JINKO 585Wp 72HL4-BDV BIFACIAL</t>
  </si>
  <si>
    <t>44848</t>
  </si>
  <si>
    <t>JINKO 620WP-66HL4M BIFACIAL</t>
  </si>
  <si>
    <t>45955</t>
  </si>
  <si>
    <t>JINKO 725WP N-66HL5-BDV</t>
  </si>
  <si>
    <t>28418</t>
  </si>
  <si>
    <t>JUEGO DE BROCA ESCALONADA ALTA VELOCIDAD TRUPER</t>
  </si>
  <si>
    <t>6171</t>
  </si>
  <si>
    <t>L DOBLE TORNILLO</t>
  </si>
  <si>
    <t>6172</t>
  </si>
  <si>
    <t>L TORNILLO SENCILLO</t>
  </si>
  <si>
    <t>4853</t>
  </si>
  <si>
    <t>LAMINA NEOPRENO RIGIDO 1/8"</t>
  </si>
  <si>
    <t>42796</t>
  </si>
  <si>
    <t>LIMPIA CONTACTOS ELECTRICO 200ml</t>
  </si>
  <si>
    <t>MANGUERA 1/2" 4 CAPAS EN ROLLO DE 100</t>
  </si>
  <si>
    <t>7503</t>
  </si>
  <si>
    <t>MANTO REAL ADHESIVO ROLLO 1MT x 10MT</t>
  </si>
  <si>
    <t>5459</t>
  </si>
  <si>
    <t>MARCADOR CABLE TIPO FLECHA DEXSON</t>
  </si>
  <si>
    <t>5460</t>
  </si>
  <si>
    <t>MARCADOR INDUSTRIAL AMARILLO</t>
  </si>
  <si>
    <t>6173</t>
  </si>
  <si>
    <t>MCLAMP 30 MM</t>
  </si>
  <si>
    <t>6174</t>
  </si>
  <si>
    <t>MCLAMP 35 MM</t>
  </si>
  <si>
    <t>6175</t>
  </si>
  <si>
    <t>MCLAMP 40 MM</t>
  </si>
  <si>
    <t>14842</t>
  </si>
  <si>
    <t>MEDIDOR BIFASICO TRIFILAR D2000 2X120/208V 2X5(100)A EMSI  D2000</t>
  </si>
  <si>
    <t>8621</t>
  </si>
  <si>
    <t>MEDIDOR MICROSTAR P2000-T</t>
  </si>
  <si>
    <t>5910</t>
  </si>
  <si>
    <t>MEDIDOR MONOFASICO MEDIDA DIRECTA BIFILAR EMSI C2000</t>
  </si>
  <si>
    <t>19520</t>
  </si>
  <si>
    <t>MEDIDOR TRIFÁSICO BIDERECCIÓN (MT174 MEDIDA DIRECTA)</t>
  </si>
  <si>
    <t>5912</t>
  </si>
  <si>
    <t>MEDIDOR TRIFASICO MEDIDA DIRECTA BIDIRECCION ELSTER</t>
  </si>
  <si>
    <t>8626</t>
  </si>
  <si>
    <t>MEDIDOR TRIFASICO P2000-D (TETRAFILAR CONEXION DIRECTA CLASE 1 100A (240V) DLMS-COSEM)</t>
  </si>
  <si>
    <t>7376</t>
  </si>
  <si>
    <t>MENSULA CANAL SENCILLO 15CM</t>
  </si>
  <si>
    <t>7377</t>
  </si>
  <si>
    <t>MENSULA CANAL SENCILLO 20CM</t>
  </si>
  <si>
    <t>7379</t>
  </si>
  <si>
    <t>MENSULA CANAL SENCILLO 30CM</t>
  </si>
  <si>
    <t>7383</t>
  </si>
  <si>
    <t>MENSULA CANAL SENCILLO 50CM</t>
  </si>
  <si>
    <t>35479</t>
  </si>
  <si>
    <t>MENSULA CANAL SENCILLO 60CM</t>
  </si>
  <si>
    <t>40135</t>
  </si>
  <si>
    <t>MICROINVERSOR HOYMILES HMS-1000-2T</t>
  </si>
  <si>
    <t>40136</t>
  </si>
  <si>
    <t>MICROINVERSOR HOYMILES HMS-2000-4T</t>
  </si>
  <si>
    <t>5928</t>
  </si>
  <si>
    <t>MODEM RS485 EMSI</t>
  </si>
  <si>
    <t>5461</t>
  </si>
  <si>
    <t>MOLDE PARA SOLDADURA EXOTÉRMICA TIPO T</t>
  </si>
  <si>
    <t>42206</t>
  </si>
  <si>
    <t>MOLDE PARA SOLDADURA EXOTÉRMICA TIPO X</t>
  </si>
  <si>
    <t>6207</t>
  </si>
  <si>
    <t>MRAIL 3,2 M</t>
  </si>
  <si>
    <t>6217</t>
  </si>
  <si>
    <t>MRAIL 4,15 M</t>
  </si>
  <si>
    <t>6238</t>
  </si>
  <si>
    <t>MRAIL 6,2 M</t>
  </si>
  <si>
    <t>5462</t>
  </si>
  <si>
    <t>NYLON GRUESO 100 MT</t>
  </si>
  <si>
    <t>PATCH CORD CAT6A SFTP 10FT 3M COLOR AZUL O GRIS VCP</t>
  </si>
  <si>
    <t>PATCH CORD CAT6A SFTP 17FT 5M COLOR GRIS SIEMON</t>
  </si>
  <si>
    <t>PATCH CORD CAT6A SFTP 23FT 7M COLOR GRIS VCP</t>
  </si>
  <si>
    <t>PATCH CORD LC-LC SM 9/125UM DUPLEX X2MTS IMPORT</t>
  </si>
  <si>
    <t>PIG TAIL LC SM SIMPLEX 9/125UM X1.5MTS 900UM</t>
  </si>
  <si>
    <t>44864</t>
  </si>
  <si>
    <t>PILA RECARGABLE AAA X 4 ENERGIZER NIMH PAQUETE</t>
  </si>
  <si>
    <t>45599</t>
  </si>
  <si>
    <t>PLATINA CENTRAL DOBLE INCLINACION LASTRADA</t>
  </si>
  <si>
    <t>39391</t>
  </si>
  <si>
    <t>PLATINA DE UNION BANDEJA GALVANIZADA EN CALIENTE 8CM</t>
  </si>
  <si>
    <t>7384</t>
  </si>
  <si>
    <t>PLATINA EN ELE CUATRO PERFORACIONES GALVANIZADA EN CALIENTE</t>
  </si>
  <si>
    <t>7385</t>
  </si>
  <si>
    <t>PLATINA EN ELE DOS PERFORACIONES GALVANIZADA EN CALIENTE</t>
  </si>
  <si>
    <t>45598</t>
  </si>
  <si>
    <t>PLATINA EXTREMO BAJO LASTRADA</t>
  </si>
  <si>
    <t>7386</t>
  </si>
  <si>
    <t>PLATINA RECTA CUATRO PERFORACIONES GALVANIZADA EN CALIENTE</t>
  </si>
  <si>
    <t>7388</t>
  </si>
  <si>
    <t>PLATINA UNION BANDEJA GALVANIZADA EN CALIENTE</t>
  </si>
  <si>
    <t>41286</t>
  </si>
  <si>
    <t>PORTAFUSIBLE 32A</t>
  </si>
  <si>
    <t>8417</t>
  </si>
  <si>
    <t>PRENSA ESTOPA DEXON 1"</t>
  </si>
  <si>
    <t>5465</t>
  </si>
  <si>
    <t>PRENSA ESTOPA 1/2" DEXSON</t>
  </si>
  <si>
    <t>9095</t>
  </si>
  <si>
    <t>PRENSA ESTOPA 2" DEXON</t>
  </si>
  <si>
    <t>5466</t>
  </si>
  <si>
    <t>PRENSA ESTOPA 3/4" DEXSON</t>
  </si>
  <si>
    <t>5467</t>
  </si>
  <si>
    <t>PRENSA ESTOPA 3/8" DEXSON</t>
  </si>
  <si>
    <t>35475</t>
  </si>
  <si>
    <t>PRENSA ESTOPA 5/16" DEXSON</t>
  </si>
  <si>
    <t>5468</t>
  </si>
  <si>
    <t>PRENSA ESTOPA 5/8" DEXSON</t>
  </si>
  <si>
    <t>24474</t>
  </si>
  <si>
    <t>PUNTA CAPTADORA 5/8 X 1MT CON BASE DX ALUMINIO</t>
  </si>
  <si>
    <t>5813</t>
  </si>
  <si>
    <t>PUNTA HEXAGONAL 6MM</t>
  </si>
  <si>
    <t>14718</t>
  </si>
  <si>
    <t>PUNTA PHILLIPS ESTRIA</t>
  </si>
  <si>
    <t>18396</t>
  </si>
  <si>
    <t>PUNTAS PH2</t>
  </si>
  <si>
    <t>8721</t>
  </si>
  <si>
    <t>REDUCCION BANDEJA SIMETRICA 20-10X8</t>
  </si>
  <si>
    <t>7403</t>
  </si>
  <si>
    <t>REDUCCION BANDEJA SIMETRICA 30-20X8</t>
  </si>
  <si>
    <t>7405</t>
  </si>
  <si>
    <t>REDUCCION BANDEJA SIMETRICA 40-30X8</t>
  </si>
  <si>
    <t>7281</t>
  </si>
  <si>
    <t>RELE DE PROTECCION SIL-G FANOX</t>
  </si>
  <si>
    <t>5471</t>
  </si>
  <si>
    <t>RIEL OMEGA</t>
  </si>
  <si>
    <t>7408</t>
  </si>
  <si>
    <t>RIEL RANURADO 4X2 GALVANIZADO EN CALIENTE</t>
  </si>
  <si>
    <t>7409</t>
  </si>
  <si>
    <t>RIEL RANURADO 4X4 GALVANIZADO EN CALIENTE</t>
  </si>
  <si>
    <t>8492</t>
  </si>
  <si>
    <t>RL 3/8"</t>
  </si>
  <si>
    <t>ROLLO CARTON CORRUGADO</t>
  </si>
  <si>
    <t>7508</t>
  </si>
  <si>
    <t>SELLANTE ADHESIVO WEICON</t>
  </si>
  <si>
    <t>42433</t>
  </si>
  <si>
    <t>SIM CARD ONOMONDO</t>
  </si>
  <si>
    <t>8420</t>
  </si>
  <si>
    <t>SOLDADURA EXOTERMICA 115gr</t>
  </si>
  <si>
    <t>42209</t>
  </si>
  <si>
    <t>SOLDADURA EXOTERMICA 150gr</t>
  </si>
  <si>
    <t>9893</t>
  </si>
  <si>
    <t>SOPORTE PLASTICO CONDUCTOR DEHMsnap RD 8mm H36mm ROSCA M8 Art204004</t>
  </si>
  <si>
    <t>6240</t>
  </si>
  <si>
    <t>SOPORTE TEJA DE BARRO (Z)</t>
  </si>
  <si>
    <t>6241</t>
  </si>
  <si>
    <t>SOPORTE TEJA TRAPEZOIDAL</t>
  </si>
  <si>
    <t>10087</t>
  </si>
  <si>
    <t>TABLERO DE DISTRIBUCIÓN RESIDENCIAL SOBREPONER IP41 4 MÓDULOS DIN</t>
  </si>
  <si>
    <t>22569</t>
  </si>
  <si>
    <t>TABLERO DE DISTRIBUCIÓN RESIDENCIAL SOBREPONER IP41 6 MÓDULOS DIN</t>
  </si>
  <si>
    <t>TABLERO DE PROTECCIONES 440V/220V - PRS-26-0161 CAMISAS BÁVARA</t>
  </si>
  <si>
    <t>43846</t>
  </si>
  <si>
    <t>TABLERO DISTRIBUCIÓN TRIFASICO 12 CIRCUITOS RIEL DE SOBREPONER CILES</t>
  </si>
  <si>
    <t>5473</t>
  </si>
  <si>
    <t>TABLERO DISTRIBUCION 12 CIRCUITOS FAMATEL</t>
  </si>
  <si>
    <t>5477</t>
  </si>
  <si>
    <t>TABLERO DISTRIBUCION 8 CIRCUITOS FAMATEL</t>
  </si>
  <si>
    <t>TABLERO SERVICIOS AUXILIARES PRS-25-0140 UM PICHINCHA (EPM</t>
  </si>
  <si>
    <t>36471</t>
  </si>
  <si>
    <t>TAPA CAJA RAWELT 2x4 PARA TOMACORRIENTE DOBLE LEVITON</t>
  </si>
  <si>
    <t>40141</t>
  </si>
  <si>
    <t>TAPA DEL EXTREMO DEL CABLE TRONCAL AC - HMS</t>
  </si>
  <si>
    <t>39410</t>
  </si>
  <si>
    <t>TAPA FINAL BANDEJA ESCALERA 10X8 CM GALVANIZADA EN CALIENTE</t>
  </si>
  <si>
    <t>39413</t>
  </si>
  <si>
    <t>TAPA FINAL BANDEJA ESCALERA 20X8 CM GALVANIZADA EN CALIENTE</t>
  </si>
  <si>
    <t>39422</t>
  </si>
  <si>
    <t>TAPA FINAL BANDEJA ESCALERA 50X8 CM GALVANIZADA EN CALIENTE</t>
  </si>
  <si>
    <t>22570</t>
  </si>
  <si>
    <t>TAPA INTERPERIE 20/50A SIGMA DUPLEX</t>
  </si>
  <si>
    <t>40031</t>
  </si>
  <si>
    <t>TAPA PARA TOMA NEMA L5-30R DE INCRUSTAR LEVITON</t>
  </si>
  <si>
    <t>7415</t>
  </si>
  <si>
    <t>TAPA SUPERIOR BANDEJA ESCALERA 10 POLIESTER</t>
  </si>
  <si>
    <t>35783</t>
  </si>
  <si>
    <t>TAPA SUPERIOR BANDEJA ESCALERA 50 POLIESTER</t>
  </si>
  <si>
    <t>7439</t>
  </si>
  <si>
    <t>TAPA SUPERIOR CURVA BANDEJA HORIZONTAL 90° 10 POLIESTER</t>
  </si>
  <si>
    <t>7441</t>
  </si>
  <si>
    <t>TAPA SUPERIOR CURVA BANDEJA HORIZONTAL 90° 20 POLIESTER</t>
  </si>
  <si>
    <t>7443</t>
  </si>
  <si>
    <t>TAPA SUPERIOR CURVA BANDEJA HORIZONTAL 90° 30 POLIESTER</t>
  </si>
  <si>
    <t>7445</t>
  </si>
  <si>
    <t>TAPA SUPERIOR CURVA BANDEJA HORIZONTAL 90° 40 POLIESTER</t>
  </si>
  <si>
    <t>7455</t>
  </si>
  <si>
    <t>TAPA SUPERIOR CURVA BANDEJA VERTICAL EXTERIOR 90° 10 POLIESTER</t>
  </si>
  <si>
    <t>7457</t>
  </si>
  <si>
    <t>TAPA SUPERIOR CURVA BANDEJA VERTICAL EXTERIOR 90° 20 POLIESTER</t>
  </si>
  <si>
    <t>7461</t>
  </si>
  <si>
    <t>TAPA SUPERIOR CURVA BANDEJA VERTICAL EXTERIOR 90° 40 POLIESTER</t>
  </si>
  <si>
    <t>7471</t>
  </si>
  <si>
    <t>TAPA SUPERIOR CURVA BANDEJA VERTICAL INTERIOR 90° 10 POLIESTER</t>
  </si>
  <si>
    <t>40095</t>
  </si>
  <si>
    <t>TAPA TOMA DOBLE PARA TOMA LEVITON BLANCA</t>
  </si>
  <si>
    <t>31190</t>
  </si>
  <si>
    <t>TAPACIEGA PARA CAJA RADWELT CAJA 4X4</t>
  </si>
  <si>
    <t>31191</t>
  </si>
  <si>
    <t>TAPACIEGA PARA CAJA RAWLT CAJA 4X2</t>
  </si>
  <si>
    <t>7052</t>
  </si>
  <si>
    <t>TERMINAL BIMETALICA OJO 1/0 AWG HUECO 3/8"</t>
  </si>
  <si>
    <t>27423</t>
  </si>
  <si>
    <t>TERMINAL BIMETALICA OJO 1/0 AWG HUECO 3/8" CILES</t>
  </si>
  <si>
    <t>35498</t>
  </si>
  <si>
    <t>TERMINAL BIMETALICA OJO 1/0 AWG HUECO 5/16" CILES</t>
  </si>
  <si>
    <t>27426</t>
  </si>
  <si>
    <t>TERMINAL BIMETALICA OJO 2/0 AWG HUECO 3/8" CILES</t>
  </si>
  <si>
    <t>39250</t>
  </si>
  <si>
    <t>TERMINAL BIMETALICA OJO 2/0 AWG HUECO 5/16" CILES</t>
  </si>
  <si>
    <t>39253</t>
  </si>
  <si>
    <t>TERMINAL BIMETALICA OJO 250 KCMIL AWG HUECO 5/16" CILES</t>
  </si>
  <si>
    <t>27418</t>
  </si>
  <si>
    <t>TERMINAL BIMETALICA OJO 250 KCMIL HUECO 3/8" CILES</t>
  </si>
  <si>
    <t>27419</t>
  </si>
  <si>
    <t>TERMINAL BIMETALICA OJO 350 KCMIL HUECO 3/8" CILES</t>
  </si>
  <si>
    <t>33034</t>
  </si>
  <si>
    <t>TERMINAL BIMETALICA OJO 4 AWG HUECO 1/4"</t>
  </si>
  <si>
    <t>41225</t>
  </si>
  <si>
    <t>TERMINAL BIMETALICA OJO 4/0 AWG HUECO 1/2"</t>
  </si>
  <si>
    <t>41121</t>
  </si>
  <si>
    <t>TERMINAL BIMETALICA OJO 4/0 AWG HUECO 1/2" CILES</t>
  </si>
  <si>
    <t>27425</t>
  </si>
  <si>
    <t>TERMINAL BIMETALICA OJO 4/0 AWG HUECO 3/8" CILES</t>
  </si>
  <si>
    <t>35177</t>
  </si>
  <si>
    <t>TERMINAL BIMETALICA OJO 4/0 AWG HUECO 5/16" CILES</t>
  </si>
  <si>
    <t>39254</t>
  </si>
  <si>
    <t>TERMINAL BIMETALICA OJO 500 KCMIL AWG HUECO 3/8" CILES</t>
  </si>
  <si>
    <t>39753</t>
  </si>
  <si>
    <t>TERMINAL BIMETALICA OJO 6 AWG HUECO 3/16" CILES</t>
  </si>
  <si>
    <t>41301</t>
  </si>
  <si>
    <t>TERMINAL COBRE OJO #10 HUECO 1/4"</t>
  </si>
  <si>
    <t>40091</t>
  </si>
  <si>
    <t>TERMINAL COBRE OJO #4 HUECO 1/4"</t>
  </si>
  <si>
    <t>40090</t>
  </si>
  <si>
    <t>TERMINAL COBRE OJO #8 HUECO 1/4"</t>
  </si>
  <si>
    <t>7898</t>
  </si>
  <si>
    <t>TERMINAL EMT 1"</t>
  </si>
  <si>
    <t>7896</t>
  </si>
  <si>
    <t>TERMINAL EMT 1 1/2"</t>
  </si>
  <si>
    <t>7899</t>
  </si>
  <si>
    <t>TERMINAL EMT 1/2"</t>
  </si>
  <si>
    <t>7900</t>
  </si>
  <si>
    <t>TERMINAL EMT 2"</t>
  </si>
  <si>
    <t>9347</t>
  </si>
  <si>
    <t>TERMINAL EMT 2 1/2"</t>
  </si>
  <si>
    <t>9348</t>
  </si>
  <si>
    <t>TERMINAL EMT 3"</t>
  </si>
  <si>
    <t>7901</t>
  </si>
  <si>
    <t>TERMINAL EMT 3/4"</t>
  </si>
  <si>
    <t>8801</t>
  </si>
  <si>
    <t>TERMINAL EMT 4"</t>
  </si>
  <si>
    <t>9680</t>
  </si>
  <si>
    <t>TERMINAL IMC 1"</t>
  </si>
  <si>
    <t>8802</t>
  </si>
  <si>
    <t>TERMINAL IMC 1 1/2"</t>
  </si>
  <si>
    <t>8803</t>
  </si>
  <si>
    <t>TERMINAL IMC 1 1/4"</t>
  </si>
  <si>
    <t>9349</t>
  </si>
  <si>
    <t>TERMINAL IMC 1/2"</t>
  </si>
  <si>
    <t>9350</t>
  </si>
  <si>
    <t>TERMINAL IMC 2"</t>
  </si>
  <si>
    <t>8804</t>
  </si>
  <si>
    <t>TERMINAL IMC 3"</t>
  </si>
  <si>
    <t>9351</t>
  </si>
  <si>
    <t>TERMINAL IMC 3/4"</t>
  </si>
  <si>
    <t>40260</t>
  </si>
  <si>
    <t>TERMINAL OJO PLASTICA 10-12 AWG 5/16"</t>
  </si>
  <si>
    <t>5223</t>
  </si>
  <si>
    <t>TERMINAL OJO 1/0 AWG HUECO 3/8"</t>
  </si>
  <si>
    <t>5227</t>
  </si>
  <si>
    <t>TERMINAL OJO 2 AWG HUECO 5/16"</t>
  </si>
  <si>
    <t>41224</t>
  </si>
  <si>
    <t>TERMINAL OJO 350 KCMIL HUECO 1/"2</t>
  </si>
  <si>
    <t>35494</t>
  </si>
  <si>
    <t>TERMINAL OJO 4/0 AWG HUECO 1/2"</t>
  </si>
  <si>
    <t>5234</t>
  </si>
  <si>
    <t>TERMINAL OJO 4/0 AWG HUECO 3/8"</t>
  </si>
  <si>
    <t>5235</t>
  </si>
  <si>
    <t>TERMINAL OJO 4/0 AWG HUECO 5/16"</t>
  </si>
  <si>
    <t>35482</t>
  </si>
  <si>
    <t>TERMINAL OJO 6 AWG HUECO 1/4"</t>
  </si>
  <si>
    <t>5237</t>
  </si>
  <si>
    <t>TERMINAL OJO 6 AWG HUECO 5/16"</t>
  </si>
  <si>
    <t>35495</t>
  </si>
  <si>
    <t>TERMINAL OJO 8 AWG HUECO 3/16"</t>
  </si>
  <si>
    <t>5239</t>
  </si>
  <si>
    <t>TERMINAL OJO 8 AWG HUECO 5/16"</t>
  </si>
  <si>
    <t>5249</t>
  </si>
  <si>
    <t>TERMINAL PIN HUECO 10 AWG</t>
  </si>
  <si>
    <t>42185</t>
  </si>
  <si>
    <t>TERMINAL PIN HUECO 22 AWG</t>
  </si>
  <si>
    <t>41114</t>
  </si>
  <si>
    <t>TERMINAL PIN HUECO 4 AWG</t>
  </si>
  <si>
    <t>5250</t>
  </si>
  <si>
    <t>TERMINAL PIN HUECO 6 AWG</t>
  </si>
  <si>
    <t>5251</t>
  </si>
  <si>
    <t>TERMINAL PIN HUECO 8 AWG</t>
  </si>
  <si>
    <t>8462</t>
  </si>
  <si>
    <t>TERMOENCOGIBLE AMARILLO 1"</t>
  </si>
  <si>
    <t>8464</t>
  </si>
  <si>
    <t>TERMOENCOGIBLE BLANCO 1"</t>
  </si>
  <si>
    <t>25681</t>
  </si>
  <si>
    <t>TERMOENCOGIBLE CABLE 2/0 AWG COLOR NARANJA</t>
  </si>
  <si>
    <t>31185</t>
  </si>
  <si>
    <t>TERMOENCOGIBLE CABLE 4/0 AWG COLOR VERDE</t>
  </si>
  <si>
    <t>9131</t>
  </si>
  <si>
    <t>TERMOENCOGIBLE CAFÉ 1"</t>
  </si>
  <si>
    <t>9132</t>
  </si>
  <si>
    <t>TERMOENCOGIBLE NARANJA 1"</t>
  </si>
  <si>
    <t>8466</t>
  </si>
  <si>
    <t>TERMOENCOGIBLE NEGRO 1"</t>
  </si>
  <si>
    <t>41090</t>
  </si>
  <si>
    <t>TERMOENCOGIBLE NEGRO 8 MM</t>
  </si>
  <si>
    <t>8467</t>
  </si>
  <si>
    <t>TERMOENCOGIBLE ROJO 1"</t>
  </si>
  <si>
    <t>23774</t>
  </si>
  <si>
    <t>TERMOENCOGIBLE TRANSPARENTE 6MM</t>
  </si>
  <si>
    <t>8469</t>
  </si>
  <si>
    <t>TERMOENCOGIBLE VERDE 1"</t>
  </si>
  <si>
    <t>5482</t>
  </si>
  <si>
    <t>TOMA AEREO CAUCHO MACHO</t>
  </si>
  <si>
    <t>5483</t>
  </si>
  <si>
    <t>TOMA DOBLE CON POLO A TIERRA LEVITON</t>
  </si>
  <si>
    <t>5485</t>
  </si>
  <si>
    <t>TOMA NEMA 14-50R DE INCRUSTAR LEVITON</t>
  </si>
  <si>
    <t>5490</t>
  </si>
  <si>
    <t>TOMACORRIENTE LEVITON</t>
  </si>
  <si>
    <t>36931</t>
  </si>
  <si>
    <t>TOMACORRIENTE 125V 15A CAJA 2X4 INTEMPERIE RAWELT</t>
  </si>
  <si>
    <t>5826</t>
  </si>
  <si>
    <t>TORNILLO AUTOPERFORANTE HEXAGONAL PUNTA BROCA ROSCA COMPLETA 2"</t>
  </si>
  <si>
    <t>8500</t>
  </si>
  <si>
    <t>TORNILLO AUTOPERFORANTE HEXAGONAL PUNTA BROCA ROSCA COMPLETA 2 1/2"</t>
  </si>
  <si>
    <t>5828</t>
  </si>
  <si>
    <t>TORNILLO AUTOPERFORANTE HEXAGONAL PUNTA BROCA ROSCA COMPLETA 4"</t>
  </si>
  <si>
    <t>14859</t>
  </si>
  <si>
    <t>TORNILLO AUTOPERFORANTE HEXAGONAL PUNTA BROCA 12-14 X 1/4"</t>
  </si>
  <si>
    <t>14860</t>
  </si>
  <si>
    <t>TORNILLO AUTOPERFORANTE HEXAGONAL PUNTA BROCA 12-14 X 2"</t>
  </si>
  <si>
    <t>8498</t>
  </si>
  <si>
    <t>TORNILLO AUTOPERFORANTE HEXAGONAL PUNTA BROCA 12-14 X 3"</t>
  </si>
  <si>
    <t>5825</t>
  </si>
  <si>
    <t>TORNILLO AUTOPERFORANTE HEXAGONAL PUNTA BROCA 12-14 X 3/4"</t>
  </si>
  <si>
    <t>14861</t>
  </si>
  <si>
    <t>TORNILLO AUTOPERFORANTE HEXAGONAL PUNTA BROCA 12-14 X 4"</t>
  </si>
  <si>
    <t>14863</t>
  </si>
  <si>
    <t>TORNILLO AUTOPERFORANTE HEXAGONAL PUNTA BROCA 12-14 X 5"</t>
  </si>
  <si>
    <t>8504</t>
  </si>
  <si>
    <t>TORNILLO AUTOPERFORANTE PUNTA BROCA CABEZA LENTEJA 1/2</t>
  </si>
  <si>
    <t>44081</t>
  </si>
  <si>
    <t>TORNILLO CABEZA HEXAGONAL Ø1/2" X 1-1/2" ACERO GALVANIZADO</t>
  </si>
  <si>
    <t>36043</t>
  </si>
  <si>
    <t>TORNILLO HEXAGONAl INOXIDABLE  3/8" X 1"</t>
  </si>
  <si>
    <t>5834</t>
  </si>
  <si>
    <t>TORNILLO HEXAGONAL PUNTA AGUDA 9-15 X 1"</t>
  </si>
  <si>
    <t>5833</t>
  </si>
  <si>
    <t>TORNILLO HEXAGONAL PUNTA AGUDA 9-15 X 1 1/2"</t>
  </si>
  <si>
    <t>14865</t>
  </si>
  <si>
    <t>TORNILLO M8X15</t>
  </si>
  <si>
    <t>6250</t>
  </si>
  <si>
    <t>TORNILLO M8X20</t>
  </si>
  <si>
    <t>6251</t>
  </si>
  <si>
    <t>TORNILLO M8X25</t>
  </si>
  <si>
    <t>6252</t>
  </si>
  <si>
    <t>TORNILLO M8X30</t>
  </si>
  <si>
    <t>14867</t>
  </si>
  <si>
    <t>TORNILLO M8X35</t>
  </si>
  <si>
    <t>35518</t>
  </si>
  <si>
    <t>TORNILLO M8X45</t>
  </si>
  <si>
    <t>29565</t>
  </si>
  <si>
    <t>TORNILLO PUNTA DE AGUJA 9X1 1/2"</t>
  </si>
  <si>
    <t>8516</t>
  </si>
  <si>
    <t>TORNILLO PUNTA DE AGUJA 9X1 1/4"</t>
  </si>
  <si>
    <t>45943</t>
  </si>
  <si>
    <t>TORNILLO TROPICALIZADO GRADO 8 1/2" X 1 1/2"</t>
  </si>
  <si>
    <t>5838</t>
  </si>
  <si>
    <t>TORNILLO TROPICALIZADO GRADO 8 3/8" X 1 1/2"</t>
  </si>
  <si>
    <t>10696</t>
  </si>
  <si>
    <t>TORNILLO TROPICALIZADO GRADO 8 5/16" X 1 1/2"</t>
  </si>
  <si>
    <t>29430</t>
  </si>
  <si>
    <t>TORNILLO TROPICALIZADO GRADO 8 5/16" X 1 1/4"</t>
  </si>
  <si>
    <t>15865</t>
  </si>
  <si>
    <t>TRANSFERENCIA MANUAL 63A EN CAJA 20X20X10 CON PILOTOS</t>
  </si>
  <si>
    <t>7290</t>
  </si>
  <si>
    <t>TRANSFORMADOR DE CORRIENTE 400/5A CLASE 0,5S MAVILL</t>
  </si>
  <si>
    <t>TRANSFORMADOR 900 KVA 13.200/480 V PRS-25-0140 UM PICHINCHA (EPM</t>
  </si>
  <si>
    <t>46302</t>
  </si>
  <si>
    <t>TRINA 620WP TSM-NEG19RC.20</t>
  </si>
  <si>
    <t>46303</t>
  </si>
  <si>
    <t>TRINA 625WP TSM-NEG19RC.20</t>
  </si>
  <si>
    <t>7904</t>
  </si>
  <si>
    <t>TUBO CONDUIT PVC (SCH 40) 1"</t>
  </si>
  <si>
    <t>7906</t>
  </si>
  <si>
    <t>TUBO CONDUIT PVC (SCH 40) 2"</t>
  </si>
  <si>
    <t>7908</t>
  </si>
  <si>
    <t>TUBO CONDUIT PVC (SCH 40) 3/4"</t>
  </si>
  <si>
    <t>7911</t>
  </si>
  <si>
    <t>TUBO CONDUIT PVC 1"</t>
  </si>
  <si>
    <t>7909</t>
  </si>
  <si>
    <t>TUBO CONDUIT PVC 1 1/2"</t>
  </si>
  <si>
    <t>7912</t>
  </si>
  <si>
    <t>TUBO CONDUIT PVC 1/2"</t>
  </si>
  <si>
    <t>7915</t>
  </si>
  <si>
    <t>TUBO CONDUIT PVC 3/4"</t>
  </si>
  <si>
    <t>7925</t>
  </si>
  <si>
    <t>TUBO EMT 1"</t>
  </si>
  <si>
    <t>7923</t>
  </si>
  <si>
    <t>TUBO EMT 1 1/2"</t>
  </si>
  <si>
    <t>7924</t>
  </si>
  <si>
    <t>TUBO EMT 1 1/4"</t>
  </si>
  <si>
    <t>7926</t>
  </si>
  <si>
    <t>TUBO EMT 1/2"</t>
  </si>
  <si>
    <t>7927</t>
  </si>
  <si>
    <t>TUBO EMT 2"</t>
  </si>
  <si>
    <t>8805</t>
  </si>
  <si>
    <t>TUBO EMT 3"</t>
  </si>
  <si>
    <t>7928</t>
  </si>
  <si>
    <t>TUBO EMT 3/4"</t>
  </si>
  <si>
    <t>7931</t>
  </si>
  <si>
    <t>TUBO IMC 1"</t>
  </si>
  <si>
    <t>7930</t>
  </si>
  <si>
    <t>TUBO IMC 1 1/4"</t>
  </si>
  <si>
    <t>7932</t>
  </si>
  <si>
    <t>TUBO IMC 1/2"</t>
  </si>
  <si>
    <t>7934</t>
  </si>
  <si>
    <t>TUBO IMC 2"</t>
  </si>
  <si>
    <t>7935</t>
  </si>
  <si>
    <t>TUBO IMC 3/4"</t>
  </si>
  <si>
    <t>7938</t>
  </si>
  <si>
    <t>TUBO PVC 1"</t>
  </si>
  <si>
    <t>7939</t>
  </si>
  <si>
    <t>TUBO PVC 1/2"</t>
  </si>
  <si>
    <t>39260</t>
  </si>
  <si>
    <t>TUERCA ACERO INOXIDABLE M8</t>
  </si>
  <si>
    <t>8521</t>
  </si>
  <si>
    <t>TUERCA ACERO INOXIDABLE 3/8"</t>
  </si>
  <si>
    <t>5846</t>
  </si>
  <si>
    <t>TUERCA GALVANIZADA EN CALIENTE 3/8"</t>
  </si>
  <si>
    <t>5849</t>
  </si>
  <si>
    <t>TUERCA MORDAZA 3/8"</t>
  </si>
  <si>
    <t>6254</t>
  </si>
  <si>
    <t>TUERCA PERFIL M8</t>
  </si>
  <si>
    <t>8523</t>
  </si>
  <si>
    <t>TUERCA TROPICALIZADA 1/2”</t>
  </si>
  <si>
    <t>5850</t>
  </si>
  <si>
    <t>TUERCA TROPICALIZADA 3/8”</t>
  </si>
  <si>
    <t>5851</t>
  </si>
  <si>
    <t>TUERCA TROPICALIZADA 5/16”</t>
  </si>
  <si>
    <t>45411</t>
  </si>
  <si>
    <t>UNIDAD MONITOREO COMPULAB IMX8P RIEL DIN</t>
  </si>
  <si>
    <t>8807</t>
  </si>
  <si>
    <t>UNION CONDUIT PVC (SCH 40) 2"</t>
  </si>
  <si>
    <t>7963</t>
  </si>
  <si>
    <t>UNION EMT 1"</t>
  </si>
  <si>
    <t>7961</t>
  </si>
  <si>
    <t>UNION EMT 1 1/2"</t>
  </si>
  <si>
    <t>7962</t>
  </si>
  <si>
    <t>UNION EMT 1 1/4"</t>
  </si>
  <si>
    <t>7964</t>
  </si>
  <si>
    <t>UNION EMT 1/2"</t>
  </si>
  <si>
    <t>7965</t>
  </si>
  <si>
    <t>UNION EMT 2"</t>
  </si>
  <si>
    <t>41434</t>
  </si>
  <si>
    <t>UNION EMT 2 1/2"</t>
  </si>
  <si>
    <t>8814</t>
  </si>
  <si>
    <t>UNION EMT 3"</t>
  </si>
  <si>
    <t>7966</t>
  </si>
  <si>
    <t>UNION EMT 3/4"</t>
  </si>
  <si>
    <t>7969</t>
  </si>
  <si>
    <t>UNION IMC 1"</t>
  </si>
  <si>
    <t>7967</t>
  </si>
  <si>
    <t>UNION IMC 1 1/2"</t>
  </si>
  <si>
    <t>7970</t>
  </si>
  <si>
    <t>UNION IMC 1/2"</t>
  </si>
  <si>
    <t>7971</t>
  </si>
  <si>
    <t>UNION IMC 2"</t>
  </si>
  <si>
    <t>41432</t>
  </si>
  <si>
    <t>UNION IMC 2 1/2"</t>
  </si>
  <si>
    <t>8816</t>
  </si>
  <si>
    <t>UNION IMC 3"</t>
  </si>
  <si>
    <t>7972</t>
  </si>
  <si>
    <t>UNION IMC 3/4"</t>
  </si>
  <si>
    <t>8817</t>
  </si>
  <si>
    <t>UNION IMC 4"</t>
  </si>
  <si>
    <t>6255</t>
  </si>
  <si>
    <t>UNION PERFIL SIN TORNILLO</t>
  </si>
  <si>
    <t>9361</t>
  </si>
  <si>
    <t>UNION PVC 1"</t>
  </si>
  <si>
    <t>9365</t>
  </si>
  <si>
    <t>UNION PVC 3/4"</t>
  </si>
  <si>
    <t>24481</t>
  </si>
  <si>
    <t>VARILLA COOPER WELD 14.28MM X 2.4MTS</t>
  </si>
  <si>
    <t>30176</t>
  </si>
  <si>
    <t>VARILLA DE COBRE COBRE 2,4M X 12,7MM</t>
  </si>
  <si>
    <t>9114</t>
  </si>
  <si>
    <t>VARILLA ROSCADA GALVANIZADA 1/2"</t>
  </si>
  <si>
    <t>28217</t>
  </si>
  <si>
    <t>VARILLA ROSCADA GALVANIZADA 5/16"</t>
  </si>
  <si>
    <t>5494</t>
  </si>
  <si>
    <t>VARILLA ROSCADA ZINCADA 3/8"</t>
  </si>
  <si>
    <t>6256</t>
  </si>
  <si>
    <t>WASA INOXIDABLE 3/8"</t>
  </si>
  <si>
    <t>6257</t>
  </si>
  <si>
    <t>WASA INOXIDABLE 5/16"</t>
  </si>
  <si>
    <t>35505</t>
  </si>
  <si>
    <t>WASA INOXIDABLE 5/8"</t>
  </si>
  <si>
    <t>36039</t>
  </si>
  <si>
    <t>WASA TROPICALIZADA 1/2"</t>
  </si>
  <si>
    <t>14841</t>
  </si>
  <si>
    <t>DPS TIPO 2 - 2P DS40-120 CITEL</t>
  </si>
  <si>
    <t>25690</t>
  </si>
  <si>
    <t>DPS TIPO 2- DAC50 -30-150  50KA CITEL</t>
  </si>
  <si>
    <t>FRENO RIEL OMEGA LEGRAND</t>
  </si>
  <si>
    <t>INTERRUPTOR TERMOMAGNETICO PARA RIEL DIN BIPOLAR 40A (10KA) LS</t>
  </si>
  <si>
    <t>MRAIL 1 CANAL  3,2 M</t>
  </si>
  <si>
    <t>MRAIL 2 CANALES  4,7 M</t>
  </si>
  <si>
    <t>MRAIL 2 CANALES  6,2 M</t>
  </si>
  <si>
    <t>PIN CONECTOR MC4 HEMBRA</t>
  </si>
  <si>
    <t>PRENSA ESTOPA METALICA DE 1/2"</t>
  </si>
  <si>
    <t>PRENSA ESTOPA METALICA DE 3/4"</t>
  </si>
  <si>
    <t>ROLLO DE CINTA AUTOFUNDENTE 3M</t>
  </si>
  <si>
    <t>SRIEL 20 CM</t>
  </si>
  <si>
    <t>TAPA LEVINTON TOMA NEMA</t>
  </si>
  <si>
    <t>TERMINAL DE OJO HUECO 3/8" 12 AWG</t>
  </si>
  <si>
    <t>TERMINAL OJO 4 AWG HUECO 1/4"</t>
  </si>
  <si>
    <t>TERMINAL PIN HUECO 12 AWG</t>
  </si>
  <si>
    <t>TERMOENCOGIBLE TRANSPARENTE 10MM</t>
  </si>
  <si>
    <t>TORNILLO AUTOPERFORANTE PUNTA BROCA CABEZA LENTEJA 3/4*1/2"</t>
  </si>
  <si>
    <t>TORNILLO GOLOSO 5/16" X 1"</t>
  </si>
  <si>
    <t>TORNILLO GOLOSO 5/16" X 1-1/2"</t>
  </si>
  <si>
    <t>UNION IMC 1 1/4"</t>
  </si>
  <si>
    <t>CONDULETA LL 1" EXTERIOR</t>
  </si>
  <si>
    <t>SELLANTE ADHESIVO SIKA</t>
  </si>
  <si>
    <t>B</t>
  </si>
  <si>
    <t>REVISAR</t>
  </si>
  <si>
    <t>T</t>
  </si>
  <si>
    <t>C</t>
  </si>
  <si>
    <t>DESCUADRE POR PRESTAMO CONTRATISTA OBRA CIVIL</t>
  </si>
  <si>
    <t>b</t>
  </si>
  <si>
    <t>D</t>
  </si>
  <si>
    <t>E</t>
  </si>
  <si>
    <t>MRAIL 2 CANALES 4.7 M</t>
  </si>
  <si>
    <t>MRAIL 2 CANALES 6.2 M</t>
  </si>
  <si>
    <t>PIN CONECTOR MC4 MACHO</t>
  </si>
  <si>
    <t>CONECTOR COOPER WELD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</si>
</sst>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8"/>
  <sheetViews>
    <sheetView tabSelected="1" topLeftCell="A312" zoomScale="40" zoomScaleNormal="40" workbookViewId="0">
      <selection activeCell="K396" sqref="K1:K1048576"/>
    </sheetView>
  </sheetViews>
  <sheetFormatPr baseColWidth="10" defaultColWidth="11" defaultRowHeight="28.5"/>
  <cols>
    <col min="1" max="1" width="24.5703125" customWidth="1"/>
    <col min="2" max="2" width="199" bestFit="1" customWidth="1"/>
    <col min="3" max="3" width="19.85546875" style="5" bestFit="1" customWidth="1"/>
    <col min="4" max="4" width="22.85546875" style="5" bestFit="1" customWidth="1"/>
    <col min="5" max="5" width="19.85546875" style="5" customWidth="1"/>
    <col min="6" max="6" width="47.42578125" hidden="1" customWidth="1"/>
    <col min="7" max="7" width="0" hidden="1" customWidth="1"/>
    <col min="8" max="8" width="17.42578125" bestFit="1" customWidth="1"/>
    <col min="9" max="9" width="22.42578125" customWidth="1"/>
  </cols>
  <sheetData>
    <row r="1" spans="1:5" ht="33.7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</row>
    <row r="2" spans="1:5" ht="33.75">
      <c r="A2" s="1" t="s">
        <v>5</v>
      </c>
      <c r="B2" s="1" t="s">
        <v>6</v>
      </c>
      <c r="C2" s="4">
        <v>2</v>
      </c>
      <c r="D2" s="4" t="s">
        <v>7</v>
      </c>
      <c r="E2" s="4">
        <v>3</v>
      </c>
    </row>
    <row r="3" spans="1:5" ht="33.75">
      <c r="A3" s="1" t="s">
        <v>8</v>
      </c>
      <c r="B3" s="1" t="s">
        <v>9</v>
      </c>
      <c r="C3" s="4">
        <v>9</v>
      </c>
      <c r="D3" s="4" t="s">
        <v>7</v>
      </c>
      <c r="E3" s="4">
        <v>3</v>
      </c>
    </row>
    <row r="4" spans="1:5" ht="33.75">
      <c r="A4" s="1" t="s">
        <v>10</v>
      </c>
      <c r="B4" s="1" t="s">
        <v>11</v>
      </c>
      <c r="C4" s="4">
        <v>0</v>
      </c>
      <c r="D4" s="4" t="s">
        <v>7</v>
      </c>
      <c r="E4" s="4">
        <v>3</v>
      </c>
    </row>
    <row r="5" spans="1:5" ht="33.75">
      <c r="A5" s="1" t="s">
        <v>12</v>
      </c>
      <c r="B5" s="1" t="s">
        <v>13</v>
      </c>
      <c r="C5" s="4">
        <v>7</v>
      </c>
      <c r="D5" s="4" t="s">
        <v>7</v>
      </c>
      <c r="E5" s="4">
        <v>3</v>
      </c>
    </row>
    <row r="6" spans="1:5" ht="33.75">
      <c r="A6" s="1" t="s">
        <v>14</v>
      </c>
      <c r="B6" s="1" t="s">
        <v>15</v>
      </c>
      <c r="C6" s="4">
        <v>18</v>
      </c>
      <c r="D6" s="4" t="s">
        <v>7</v>
      </c>
      <c r="E6" s="4">
        <v>3</v>
      </c>
    </row>
    <row r="7" spans="1:5" ht="33.75">
      <c r="A7" s="1" t="s">
        <v>16</v>
      </c>
      <c r="B7" s="1" t="s">
        <v>17</v>
      </c>
      <c r="C7" s="4">
        <v>3</v>
      </c>
      <c r="D7" s="4" t="s">
        <v>7</v>
      </c>
      <c r="E7" s="4">
        <v>3</v>
      </c>
    </row>
    <row r="8" spans="1:5" ht="33.75">
      <c r="A8" s="1" t="s">
        <v>18</v>
      </c>
      <c r="B8" s="1" t="s">
        <v>19</v>
      </c>
      <c r="C8" s="4">
        <f>44+11+24+3+21</f>
        <v>103</v>
      </c>
      <c r="D8" s="4" t="s">
        <v>7</v>
      </c>
      <c r="E8" s="4">
        <v>3</v>
      </c>
    </row>
    <row r="9" spans="1:5" ht="33.75">
      <c r="A9" s="1" t="s">
        <v>20</v>
      </c>
      <c r="B9" s="1" t="s">
        <v>21</v>
      </c>
      <c r="C9" s="4">
        <f>28-6</f>
        <v>22</v>
      </c>
      <c r="D9" s="4" t="s">
        <v>7</v>
      </c>
      <c r="E9" s="4">
        <v>3</v>
      </c>
    </row>
    <row r="10" spans="1:5" ht="33.75">
      <c r="A10" s="1" t="s">
        <v>22</v>
      </c>
      <c r="B10" s="1" t="s">
        <v>23</v>
      </c>
      <c r="C10" s="4">
        <v>12</v>
      </c>
      <c r="D10" s="4" t="s">
        <v>7</v>
      </c>
      <c r="E10" s="4">
        <v>3</v>
      </c>
    </row>
    <row r="11" spans="1:5" ht="33.75">
      <c r="A11" s="1" t="s">
        <v>24</v>
      </c>
      <c r="B11" s="1" t="s">
        <v>25</v>
      </c>
      <c r="C11" s="4">
        <f>6+25+5</f>
        <v>36</v>
      </c>
      <c r="D11" s="4" t="s">
        <v>7</v>
      </c>
      <c r="E11" s="4">
        <v>3</v>
      </c>
    </row>
    <row r="12" spans="1:5" ht="33.75">
      <c r="A12" s="1" t="s">
        <v>26</v>
      </c>
      <c r="B12" s="1" t="s">
        <v>27</v>
      </c>
      <c r="C12" s="4">
        <v>8</v>
      </c>
      <c r="D12" s="4" t="s">
        <v>7</v>
      </c>
      <c r="E12" s="4">
        <v>3</v>
      </c>
    </row>
    <row r="13" spans="1:5" ht="33.75">
      <c r="A13" s="1" t="s">
        <v>28</v>
      </c>
      <c r="B13" s="1" t="s">
        <v>29</v>
      </c>
      <c r="C13" s="4">
        <f>13+20+4</f>
        <v>37</v>
      </c>
      <c r="D13" s="4" t="s">
        <v>7</v>
      </c>
      <c r="E13" s="4">
        <v>3</v>
      </c>
    </row>
    <row r="14" spans="1:5" ht="33.75">
      <c r="A14" s="1" t="s">
        <v>30</v>
      </c>
      <c r="B14" s="1" t="s">
        <v>31</v>
      </c>
      <c r="C14" s="4">
        <v>24</v>
      </c>
      <c r="D14" s="4" t="s">
        <v>7</v>
      </c>
      <c r="E14" s="4">
        <v>3</v>
      </c>
    </row>
    <row r="15" spans="1:5" ht="33.75">
      <c r="A15" s="1" t="s">
        <v>32</v>
      </c>
      <c r="B15" s="1" t="s">
        <v>33</v>
      </c>
      <c r="C15" s="4">
        <v>30</v>
      </c>
      <c r="D15" s="4" t="s">
        <v>7</v>
      </c>
      <c r="E15" s="4">
        <v>3</v>
      </c>
    </row>
    <row r="16" spans="1:5" ht="33.75">
      <c r="A16" s="1" t="s">
        <v>34</v>
      </c>
      <c r="B16" s="1" t="s">
        <v>35</v>
      </c>
      <c r="C16" s="4">
        <v>30</v>
      </c>
      <c r="D16" s="4" t="s">
        <v>7</v>
      </c>
      <c r="E16" s="4">
        <v>3</v>
      </c>
    </row>
    <row r="17" spans="1:5" ht="33.75">
      <c r="A17" s="1" t="s">
        <v>36</v>
      </c>
      <c r="B17" s="1" t="s">
        <v>37</v>
      </c>
      <c r="C17" s="4">
        <f>30+20+12+6</f>
        <v>68</v>
      </c>
      <c r="D17" s="4" t="s">
        <v>7</v>
      </c>
      <c r="E17" s="4">
        <v>3</v>
      </c>
    </row>
    <row r="18" spans="1:5" ht="33.75">
      <c r="A18" s="1" t="s">
        <v>38</v>
      </c>
      <c r="B18" s="1" t="s">
        <v>39</v>
      </c>
      <c r="C18" s="4">
        <v>1</v>
      </c>
      <c r="D18" s="4" t="s">
        <v>7</v>
      </c>
      <c r="E18" s="4">
        <v>3</v>
      </c>
    </row>
    <row r="19" spans="1:5" ht="33.75">
      <c r="A19" s="1" t="s">
        <v>40</v>
      </c>
      <c r="B19" s="1" t="s">
        <v>41</v>
      </c>
      <c r="C19" s="4">
        <f>15+7+6</f>
        <v>28</v>
      </c>
      <c r="D19" s="4" t="s">
        <v>7</v>
      </c>
      <c r="E19" s="4">
        <v>3</v>
      </c>
    </row>
    <row r="20" spans="1:5" ht="33.75">
      <c r="A20" s="1" t="s">
        <v>42</v>
      </c>
      <c r="B20" s="1" t="s">
        <v>43</v>
      </c>
      <c r="C20" s="4">
        <f>40+40+40+40+33+18</f>
        <v>211</v>
      </c>
      <c r="D20" s="4" t="s">
        <v>7</v>
      </c>
      <c r="E20" s="4">
        <v>3</v>
      </c>
    </row>
    <row r="21" spans="1:5" ht="33.75">
      <c r="A21" s="1" t="s">
        <v>44</v>
      </c>
      <c r="B21" s="1" t="s">
        <v>45</v>
      </c>
      <c r="C21" s="4">
        <v>9</v>
      </c>
      <c r="D21" s="4" t="s">
        <v>7</v>
      </c>
      <c r="E21" s="4">
        <v>3</v>
      </c>
    </row>
    <row r="22" spans="1:5" ht="33.75">
      <c r="A22" s="1" t="s">
        <v>46</v>
      </c>
      <c r="B22" s="1" t="s">
        <v>47</v>
      </c>
      <c r="C22" s="4">
        <v>3</v>
      </c>
      <c r="D22" s="4" t="s">
        <v>7</v>
      </c>
      <c r="E22" s="4">
        <v>3</v>
      </c>
    </row>
    <row r="23" spans="1:5" ht="33.75">
      <c r="A23" s="1" t="s">
        <v>48</v>
      </c>
      <c r="B23" s="1" t="s">
        <v>49</v>
      </c>
      <c r="C23" s="4">
        <v>7</v>
      </c>
      <c r="D23" s="4" t="s">
        <v>7</v>
      </c>
      <c r="E23" s="4">
        <v>3</v>
      </c>
    </row>
    <row r="24" spans="1:5" ht="33.75">
      <c r="A24" s="1" t="s">
        <v>50</v>
      </c>
      <c r="B24" s="1" t="s">
        <v>51</v>
      </c>
      <c r="C24" s="4">
        <f>12+6</f>
        <v>18</v>
      </c>
      <c r="D24" s="4" t="s">
        <v>7</v>
      </c>
      <c r="E24" s="4">
        <v>3</v>
      </c>
    </row>
    <row r="25" spans="1:5" ht="33.75">
      <c r="A25" s="1" t="s">
        <v>52</v>
      </c>
      <c r="B25" s="1" t="s">
        <v>53</v>
      </c>
      <c r="C25" s="4">
        <v>27</v>
      </c>
      <c r="D25" s="4" t="s">
        <v>7</v>
      </c>
      <c r="E25" s="4">
        <v>3</v>
      </c>
    </row>
    <row r="26" spans="1:5" ht="33.75">
      <c r="A26" s="1" t="s">
        <v>54</v>
      </c>
      <c r="B26" s="1" t="s">
        <v>55</v>
      </c>
      <c r="C26" s="4">
        <v>26</v>
      </c>
      <c r="D26" s="4" t="s">
        <v>7</v>
      </c>
      <c r="E26" s="4">
        <v>3</v>
      </c>
    </row>
    <row r="27" spans="1:5" ht="33.75">
      <c r="A27" s="1" t="s">
        <v>56</v>
      </c>
      <c r="B27" s="1" t="s">
        <v>57</v>
      </c>
      <c r="C27" s="4">
        <v>12</v>
      </c>
      <c r="D27" s="4" t="s">
        <v>7</v>
      </c>
      <c r="E27" s="4">
        <v>3</v>
      </c>
    </row>
    <row r="28" spans="1:5" ht="33.75">
      <c r="A28" s="1" t="s">
        <v>58</v>
      </c>
      <c r="B28" s="1" t="s">
        <v>59</v>
      </c>
      <c r="C28" s="4">
        <v>3</v>
      </c>
      <c r="D28" s="4" t="s">
        <v>7</v>
      </c>
      <c r="E28" s="4">
        <v>3</v>
      </c>
    </row>
    <row r="29" spans="1:5" ht="33.75">
      <c r="A29" s="1" t="s">
        <v>60</v>
      </c>
      <c r="B29" s="1" t="s">
        <v>61</v>
      </c>
      <c r="C29" s="4">
        <f>15+10+10+6+7</f>
        <v>48</v>
      </c>
      <c r="D29" s="4" t="s">
        <v>7</v>
      </c>
      <c r="E29" s="4">
        <v>3</v>
      </c>
    </row>
    <row r="30" spans="1:5" ht="33.75">
      <c r="A30" s="1" t="s">
        <v>62</v>
      </c>
      <c r="B30" s="1" t="s">
        <v>63</v>
      </c>
      <c r="C30" s="4">
        <f>10+78</f>
        <v>88</v>
      </c>
      <c r="D30" s="4" t="s">
        <v>7</v>
      </c>
      <c r="E30" s="4">
        <v>3</v>
      </c>
    </row>
    <row r="31" spans="1:5" ht="33.75">
      <c r="A31" s="1" t="s">
        <v>64</v>
      </c>
      <c r="B31" s="1" t="s">
        <v>65</v>
      </c>
      <c r="C31" s="4">
        <f>29+41+24+2</f>
        <v>96</v>
      </c>
      <c r="D31" s="4" t="s">
        <v>7</v>
      </c>
      <c r="E31" s="4">
        <v>3</v>
      </c>
    </row>
    <row r="32" spans="1:5" ht="33.75">
      <c r="A32" s="1" t="s">
        <v>66</v>
      </c>
      <c r="B32" s="1" t="s">
        <v>67</v>
      </c>
      <c r="C32" s="4">
        <f>14+3</f>
        <v>17</v>
      </c>
      <c r="D32" s="4" t="s">
        <v>7</v>
      </c>
      <c r="E32" s="4">
        <v>3</v>
      </c>
    </row>
    <row r="33" spans="1:5" ht="33.75">
      <c r="A33" s="1" t="s">
        <v>68</v>
      </c>
      <c r="B33" s="1" t="s">
        <v>69</v>
      </c>
      <c r="C33" s="4">
        <f>9+2</f>
        <v>11</v>
      </c>
      <c r="D33" s="4" t="s">
        <v>7</v>
      </c>
      <c r="E33" s="4">
        <v>3</v>
      </c>
    </row>
    <row r="34" spans="1:5" ht="33.75">
      <c r="A34" s="1" t="s">
        <v>70</v>
      </c>
      <c r="B34" s="1" t="s">
        <v>71</v>
      </c>
      <c r="C34" s="4">
        <f>23+18+3+100+120-48</f>
        <v>216</v>
      </c>
      <c r="D34" s="4" t="s">
        <v>7</v>
      </c>
      <c r="E34" s="4">
        <v>3</v>
      </c>
    </row>
    <row r="35" spans="1:5" ht="33.75">
      <c r="A35" s="1" t="s">
        <v>72</v>
      </c>
      <c r="B35" s="1" t="s">
        <v>73</v>
      </c>
      <c r="C35" s="4">
        <v>20</v>
      </c>
      <c r="D35" s="4" t="s">
        <v>7</v>
      </c>
      <c r="E35" s="4">
        <v>3</v>
      </c>
    </row>
    <row r="36" spans="1:5" ht="33.75">
      <c r="A36" s="1" t="s">
        <v>74</v>
      </c>
      <c r="B36" s="1" t="s">
        <v>75</v>
      </c>
      <c r="C36" s="4">
        <v>13</v>
      </c>
      <c r="D36" s="4" t="s">
        <v>7</v>
      </c>
      <c r="E36" s="4">
        <v>3</v>
      </c>
    </row>
    <row r="37" spans="1:5" ht="33.75">
      <c r="A37" s="1" t="s">
        <v>76</v>
      </c>
      <c r="B37" s="1" t="s">
        <v>77</v>
      </c>
      <c r="C37" s="4"/>
      <c r="D37" s="4"/>
      <c r="E37" s="4"/>
    </row>
    <row r="38" spans="1:5" ht="33.75">
      <c r="A38" s="1" t="s">
        <v>78</v>
      </c>
      <c r="B38" s="1" t="s">
        <v>79</v>
      </c>
      <c r="C38" s="4"/>
      <c r="D38" s="4"/>
      <c r="E38" s="4"/>
    </row>
    <row r="39" spans="1:5" ht="33.75">
      <c r="A39" s="1" t="s">
        <v>80</v>
      </c>
      <c r="B39" s="1" t="s">
        <v>81</v>
      </c>
      <c r="C39" s="4"/>
      <c r="D39" s="4"/>
      <c r="E39" s="4"/>
    </row>
    <row r="40" spans="1:5" ht="33.75">
      <c r="A40" s="1" t="s">
        <v>82</v>
      </c>
      <c r="B40" s="1" t="s">
        <v>83</v>
      </c>
      <c r="C40" s="4"/>
      <c r="D40" s="4"/>
      <c r="E40" s="4"/>
    </row>
    <row r="41" spans="1:5" ht="33.75">
      <c r="A41" s="1" t="s">
        <v>84</v>
      </c>
      <c r="B41" s="1" t="s">
        <v>85</v>
      </c>
      <c r="C41" s="4"/>
      <c r="D41" s="4"/>
      <c r="E41" s="4"/>
    </row>
    <row r="42" spans="1:5" ht="33.75">
      <c r="A42" s="1" t="s">
        <v>86</v>
      </c>
      <c r="B42" s="1" t="s">
        <v>87</v>
      </c>
      <c r="C42" s="4"/>
      <c r="D42" s="4"/>
      <c r="E42" s="4"/>
    </row>
    <row r="43" spans="1:5" ht="33.75">
      <c r="A43" s="1" t="s">
        <v>88</v>
      </c>
      <c r="B43" s="1" t="s">
        <v>89</v>
      </c>
      <c r="C43" s="4"/>
      <c r="D43" s="4"/>
      <c r="E43" s="4"/>
    </row>
    <row r="44" spans="1:5" ht="33.75">
      <c r="A44" s="1" t="s">
        <v>90</v>
      </c>
      <c r="B44" s="1" t="s">
        <v>91</v>
      </c>
      <c r="C44" s="4"/>
      <c r="D44" s="4"/>
      <c r="E44" s="4"/>
    </row>
    <row r="45" spans="1:5" ht="33.75">
      <c r="A45" s="1" t="s">
        <v>92</v>
      </c>
      <c r="B45" s="1" t="s">
        <v>93</v>
      </c>
      <c r="C45" s="4"/>
      <c r="D45" s="4"/>
      <c r="E45" s="4"/>
    </row>
    <row r="46" spans="1:5" ht="33.75">
      <c r="A46" s="1" t="s">
        <v>94</v>
      </c>
      <c r="B46" s="1" t="s">
        <v>95</v>
      </c>
      <c r="C46" s="4"/>
      <c r="D46" s="4"/>
      <c r="E46" s="4"/>
    </row>
    <row r="47" spans="1:5" ht="33.75">
      <c r="A47" s="1" t="s">
        <v>96</v>
      </c>
      <c r="B47" s="1" t="s">
        <v>97</v>
      </c>
      <c r="C47" s="4"/>
      <c r="D47" s="4"/>
      <c r="E47" s="4"/>
    </row>
    <row r="48" spans="1:5" ht="33.75">
      <c r="A48" s="1" t="s">
        <v>98</v>
      </c>
      <c r="B48" s="1" t="s">
        <v>99</v>
      </c>
      <c r="C48" s="4"/>
      <c r="D48" s="4"/>
      <c r="E48" s="4"/>
    </row>
    <row r="49" spans="1:5" ht="33.75">
      <c r="A49" s="1" t="s">
        <v>100</v>
      </c>
      <c r="B49" s="1" t="s">
        <v>101</v>
      </c>
      <c r="C49" s="4"/>
      <c r="D49" s="4"/>
      <c r="E49" s="4"/>
    </row>
    <row r="50" spans="1:5" ht="33.75">
      <c r="A50" s="1" t="s">
        <v>102</v>
      </c>
      <c r="B50" s="1" t="s">
        <v>103</v>
      </c>
      <c r="C50" s="4"/>
      <c r="D50" s="4"/>
      <c r="E50" s="4"/>
    </row>
    <row r="51" spans="1:5" ht="33.75">
      <c r="A51" s="1" t="s">
        <v>104</v>
      </c>
      <c r="B51" s="1" t="s">
        <v>105</v>
      </c>
      <c r="C51" s="4"/>
      <c r="D51" s="4"/>
      <c r="E51" s="4"/>
    </row>
    <row r="52" spans="1:5" ht="33.75">
      <c r="A52" s="1" t="s">
        <v>106</v>
      </c>
      <c r="B52" s="1" t="s">
        <v>107</v>
      </c>
      <c r="C52" s="4"/>
      <c r="D52" s="4"/>
      <c r="E52" s="4"/>
    </row>
    <row r="53" spans="1:5" ht="33.75">
      <c r="A53" s="1" t="s">
        <v>108</v>
      </c>
      <c r="B53" s="1" t="s">
        <v>109</v>
      </c>
      <c r="C53" s="4"/>
      <c r="D53" s="4"/>
      <c r="E53" s="4"/>
    </row>
    <row r="54" spans="1:5" ht="33.75">
      <c r="A54" s="1" t="s">
        <v>110</v>
      </c>
      <c r="B54" s="1" t="s">
        <v>111</v>
      </c>
      <c r="C54" s="4">
        <v>24</v>
      </c>
      <c r="D54" s="4" t="s">
        <v>7</v>
      </c>
      <c r="E54" s="4">
        <v>2</v>
      </c>
    </row>
    <row r="55" spans="1:5" ht="33.75">
      <c r="A55" s="1" t="s">
        <v>112</v>
      </c>
      <c r="B55" s="1" t="s">
        <v>113</v>
      </c>
      <c r="C55" s="4">
        <v>23</v>
      </c>
      <c r="D55" s="4" t="s">
        <v>7</v>
      </c>
      <c r="E55" s="4">
        <v>2</v>
      </c>
    </row>
    <row r="56" spans="1:5" ht="33.75">
      <c r="A56" s="1" t="s">
        <v>114</v>
      </c>
      <c r="B56" s="1" t="s">
        <v>115</v>
      </c>
      <c r="C56" s="4">
        <v>29</v>
      </c>
      <c r="D56" s="4" t="s">
        <v>7</v>
      </c>
      <c r="E56" s="4">
        <v>2</v>
      </c>
    </row>
    <row r="57" spans="1:5" ht="33.75">
      <c r="A57" s="1" t="s">
        <v>116</v>
      </c>
      <c r="B57" s="1" t="s">
        <v>117</v>
      </c>
      <c r="C57" s="4">
        <v>14</v>
      </c>
      <c r="D57" s="4" t="s">
        <v>7</v>
      </c>
      <c r="E57" s="4">
        <v>2</v>
      </c>
    </row>
    <row r="58" spans="1:5" ht="33.75">
      <c r="A58" s="1" t="s">
        <v>118</v>
      </c>
      <c r="B58" s="1" t="s">
        <v>119</v>
      </c>
      <c r="C58" s="4">
        <v>28</v>
      </c>
      <c r="D58" s="4" t="s">
        <v>7</v>
      </c>
      <c r="E58" s="4">
        <v>2</v>
      </c>
    </row>
    <row r="59" spans="1:5" ht="33.75">
      <c r="A59" s="1" t="s">
        <v>120</v>
      </c>
      <c r="B59" s="1" t="s">
        <v>121</v>
      </c>
      <c r="C59" s="4">
        <v>20</v>
      </c>
      <c r="D59" s="4" t="s">
        <v>1337</v>
      </c>
      <c r="E59" s="4">
        <v>2</v>
      </c>
    </row>
    <row r="60" spans="1:5" ht="33.75">
      <c r="A60" s="1" t="s">
        <v>122</v>
      </c>
      <c r="B60" s="1" t="s">
        <v>123</v>
      </c>
      <c r="C60" s="4"/>
      <c r="D60" s="4"/>
      <c r="E60" s="4"/>
    </row>
    <row r="61" spans="1:5" ht="33.75">
      <c r="A61" s="1" t="s">
        <v>124</v>
      </c>
      <c r="B61" s="1" t="s">
        <v>125</v>
      </c>
      <c r="C61" s="4">
        <v>700</v>
      </c>
      <c r="D61" s="4" t="s">
        <v>1338</v>
      </c>
      <c r="E61" s="4">
        <v>3</v>
      </c>
    </row>
    <row r="62" spans="1:5" ht="33.75">
      <c r="A62" s="1" t="s">
        <v>126</v>
      </c>
      <c r="B62" s="1" t="s">
        <v>127</v>
      </c>
      <c r="C62" s="4">
        <v>100</v>
      </c>
      <c r="D62" s="4" t="s">
        <v>1338</v>
      </c>
      <c r="E62" s="4">
        <v>3</v>
      </c>
    </row>
    <row r="63" spans="1:5" ht="33.75">
      <c r="A63" s="1" t="s">
        <v>128</v>
      </c>
      <c r="B63" s="1" t="s">
        <v>129</v>
      </c>
      <c r="C63" s="4">
        <v>66</v>
      </c>
      <c r="D63" s="4" t="s">
        <v>1338</v>
      </c>
      <c r="E63" s="4">
        <v>3</v>
      </c>
    </row>
    <row r="64" spans="1:5" ht="33.75">
      <c r="A64" s="1" t="s">
        <v>130</v>
      </c>
      <c r="B64" s="1" t="s">
        <v>131</v>
      </c>
      <c r="C64" s="4">
        <v>9</v>
      </c>
      <c r="D64" s="4" t="s">
        <v>1338</v>
      </c>
      <c r="E64" s="4">
        <v>3</v>
      </c>
    </row>
    <row r="65" spans="1:5" ht="33.75">
      <c r="A65" s="1" t="s">
        <v>132</v>
      </c>
      <c r="B65" s="1" t="s">
        <v>133</v>
      </c>
      <c r="C65" s="4">
        <v>191</v>
      </c>
      <c r="D65" s="4" t="s">
        <v>1338</v>
      </c>
      <c r="E65" s="4">
        <v>3</v>
      </c>
    </row>
    <row r="66" spans="1:5" ht="33.75">
      <c r="A66" s="1" t="s">
        <v>134</v>
      </c>
      <c r="B66" s="1" t="s">
        <v>135</v>
      </c>
      <c r="C66" s="4">
        <v>100</v>
      </c>
      <c r="D66" s="4" t="s">
        <v>1338</v>
      </c>
      <c r="E66" s="4">
        <v>3</v>
      </c>
    </row>
    <row r="67" spans="1:5" ht="33.75">
      <c r="A67" s="1" t="s">
        <v>136</v>
      </c>
      <c r="B67" s="1" t="s">
        <v>137</v>
      </c>
      <c r="C67" s="4">
        <v>2750</v>
      </c>
      <c r="D67" s="4" t="s">
        <v>1338</v>
      </c>
      <c r="E67" s="4">
        <v>3</v>
      </c>
    </row>
    <row r="68" spans="1:5" ht="33.75">
      <c r="A68" s="1" t="s">
        <v>138</v>
      </c>
      <c r="B68" s="1" t="s">
        <v>139</v>
      </c>
      <c r="C68" s="4"/>
      <c r="D68" s="4"/>
      <c r="E68" s="4"/>
    </row>
    <row r="69" spans="1:5" ht="33.75">
      <c r="A69" s="1" t="s">
        <v>140</v>
      </c>
      <c r="B69" s="1" t="s">
        <v>141</v>
      </c>
      <c r="C69" s="4"/>
      <c r="D69" s="4"/>
      <c r="E69" s="4"/>
    </row>
    <row r="70" spans="1:5" ht="33.75">
      <c r="A70" s="1" t="s">
        <v>142</v>
      </c>
      <c r="B70" s="1" t="s">
        <v>143</v>
      </c>
      <c r="C70" s="4"/>
      <c r="D70" s="4"/>
      <c r="E70" s="4"/>
    </row>
    <row r="71" spans="1:5" ht="33.75">
      <c r="A71" s="1" t="s">
        <v>144</v>
      </c>
      <c r="B71" s="1" t="s">
        <v>145</v>
      </c>
      <c r="C71" s="4"/>
      <c r="D71" s="4"/>
      <c r="E71" s="4"/>
    </row>
    <row r="72" spans="1:5" ht="33.75">
      <c r="A72" s="1" t="s">
        <v>146</v>
      </c>
      <c r="B72" s="1" t="s">
        <v>147</v>
      </c>
      <c r="C72" s="4"/>
      <c r="D72" s="4"/>
      <c r="E72" s="4"/>
    </row>
    <row r="73" spans="1:5" ht="33.75">
      <c r="A73" s="1" t="s">
        <v>148</v>
      </c>
      <c r="B73" s="1" t="s">
        <v>149</v>
      </c>
      <c r="C73" s="4"/>
      <c r="D73" s="4"/>
      <c r="E73" s="4"/>
    </row>
    <row r="74" spans="1:5" ht="33.75">
      <c r="A74" s="1" t="s">
        <v>150</v>
      </c>
      <c r="B74" s="1" t="s">
        <v>151</v>
      </c>
      <c r="C74" s="4"/>
      <c r="D74" s="4"/>
      <c r="E74" s="4"/>
    </row>
    <row r="75" spans="1:5" ht="33.75">
      <c r="A75" s="1" t="s">
        <v>152</v>
      </c>
      <c r="B75" s="1" t="s">
        <v>153</v>
      </c>
      <c r="C75" s="4"/>
      <c r="D75" s="4"/>
      <c r="E75" s="4"/>
    </row>
    <row r="76" spans="1:5" ht="33.75">
      <c r="A76" s="1" t="s">
        <v>154</v>
      </c>
      <c r="B76" s="1" t="s">
        <v>155</v>
      </c>
      <c r="C76" s="4"/>
      <c r="D76" s="4"/>
      <c r="E76" s="4"/>
    </row>
    <row r="77" spans="1:5" ht="33.75">
      <c r="A77" s="1" t="s">
        <v>156</v>
      </c>
      <c r="B77" s="1" t="s">
        <v>157</v>
      </c>
      <c r="C77" s="4"/>
      <c r="D77" s="4"/>
      <c r="E77" s="4"/>
    </row>
    <row r="78" spans="1:5" ht="33.75">
      <c r="A78" s="1" t="s">
        <v>158</v>
      </c>
      <c r="B78" s="1" t="s">
        <v>159</v>
      </c>
      <c r="C78" s="4"/>
      <c r="D78" s="4"/>
      <c r="E78" s="4"/>
    </row>
    <row r="79" spans="1:5" ht="33.75">
      <c r="A79" s="1" t="s">
        <v>160</v>
      </c>
      <c r="B79" s="1" t="s">
        <v>161</v>
      </c>
      <c r="C79" s="4"/>
      <c r="D79" s="4"/>
      <c r="E79" s="4"/>
    </row>
    <row r="80" spans="1:5" ht="33.75">
      <c r="A80" s="1" t="s">
        <v>162</v>
      </c>
      <c r="B80" s="1" t="s">
        <v>163</v>
      </c>
      <c r="C80" s="4"/>
      <c r="D80" s="4"/>
      <c r="E80" s="4"/>
    </row>
    <row r="81" spans="1:5" ht="33.75">
      <c r="A81" s="1" t="s">
        <v>164</v>
      </c>
      <c r="B81" s="1" t="s">
        <v>165</v>
      </c>
      <c r="C81" s="4"/>
      <c r="D81" s="4"/>
      <c r="E81" s="4"/>
    </row>
    <row r="82" spans="1:5" ht="33.75">
      <c r="A82" s="1" t="s">
        <v>166</v>
      </c>
      <c r="B82" s="1" t="s">
        <v>167</v>
      </c>
      <c r="C82" s="4"/>
      <c r="D82" s="4"/>
      <c r="E82" s="4"/>
    </row>
    <row r="83" spans="1:5" ht="33.75">
      <c r="A83" s="1" t="s">
        <v>168</v>
      </c>
      <c r="B83" s="1" t="s">
        <v>169</v>
      </c>
      <c r="C83" s="4"/>
      <c r="D83" s="4"/>
      <c r="E83" s="4"/>
    </row>
    <row r="84" spans="1:5" ht="33.75">
      <c r="A84" s="1" t="s">
        <v>170</v>
      </c>
      <c r="B84" s="1" t="s">
        <v>171</v>
      </c>
      <c r="C84" s="4"/>
      <c r="D84" s="4"/>
      <c r="E84" s="4"/>
    </row>
    <row r="85" spans="1:5" ht="33.75">
      <c r="A85" s="1" t="s">
        <v>172</v>
      </c>
      <c r="B85" s="1" t="s">
        <v>173</v>
      </c>
      <c r="C85" s="4"/>
      <c r="D85" s="4"/>
      <c r="E85" s="4"/>
    </row>
    <row r="86" spans="1:5" ht="33.75">
      <c r="A86" s="1" t="s">
        <v>174</v>
      </c>
      <c r="B86" s="1" t="s">
        <v>175</v>
      </c>
      <c r="C86" s="4"/>
      <c r="D86" s="4"/>
      <c r="E86" s="4"/>
    </row>
    <row r="87" spans="1:5" ht="33.75">
      <c r="A87" s="1" t="s">
        <v>176</v>
      </c>
      <c r="B87" s="1" t="s">
        <v>177</v>
      </c>
      <c r="C87" s="4"/>
      <c r="D87" s="4"/>
      <c r="E87" s="4"/>
    </row>
    <row r="88" spans="1:5" ht="33.75">
      <c r="A88" s="1" t="s">
        <v>178</v>
      </c>
      <c r="B88" s="1" t="s">
        <v>179</v>
      </c>
      <c r="C88" s="4">
        <v>1</v>
      </c>
      <c r="D88" s="4" t="s">
        <v>1337</v>
      </c>
      <c r="E88" s="4">
        <v>2</v>
      </c>
    </row>
    <row r="89" spans="1:5" ht="33.75">
      <c r="A89" s="1" t="s">
        <v>180</v>
      </c>
      <c r="B89" s="1" t="s">
        <v>181</v>
      </c>
      <c r="C89" s="4">
        <v>2</v>
      </c>
      <c r="D89" s="4" t="s">
        <v>1338</v>
      </c>
      <c r="E89" s="4">
        <v>3</v>
      </c>
    </row>
    <row r="90" spans="1:5" ht="33.75">
      <c r="A90" s="1" t="s">
        <v>182</v>
      </c>
      <c r="B90" s="1" t="s">
        <v>183</v>
      </c>
      <c r="C90" s="4">
        <v>0</v>
      </c>
      <c r="D90" s="4" t="s">
        <v>1338</v>
      </c>
      <c r="E90" s="4">
        <v>3</v>
      </c>
    </row>
    <row r="91" spans="1:5" ht="33.75">
      <c r="A91" s="1" t="s">
        <v>184</v>
      </c>
      <c r="B91" s="1" t="s">
        <v>185</v>
      </c>
      <c r="C91" s="4">
        <v>7</v>
      </c>
      <c r="D91" s="4" t="s">
        <v>1338</v>
      </c>
      <c r="E91" s="4">
        <v>3</v>
      </c>
    </row>
    <row r="92" spans="1:5" ht="33.75">
      <c r="A92" s="1" t="s">
        <v>186</v>
      </c>
      <c r="B92" s="1" t="s">
        <v>187</v>
      </c>
      <c r="C92" s="4"/>
      <c r="D92" s="4"/>
      <c r="E92" s="4"/>
    </row>
    <row r="93" spans="1:5" ht="33.75">
      <c r="A93" s="1" t="s">
        <v>188</v>
      </c>
      <c r="B93" s="1" t="s">
        <v>189</v>
      </c>
      <c r="C93" s="4"/>
      <c r="D93" s="4"/>
      <c r="E93" s="4"/>
    </row>
    <row r="94" spans="1:5" ht="33.75">
      <c r="A94" s="1" t="s">
        <v>190</v>
      </c>
      <c r="B94" s="1" t="s">
        <v>191</v>
      </c>
      <c r="C94" s="4"/>
      <c r="D94" s="4"/>
      <c r="E94" s="4"/>
    </row>
    <row r="95" spans="1:5" ht="33.75">
      <c r="A95" s="1" t="s">
        <v>192</v>
      </c>
      <c r="B95" s="1" t="s">
        <v>193</v>
      </c>
      <c r="C95" s="4"/>
      <c r="D95" s="4"/>
      <c r="E95" s="4"/>
    </row>
    <row r="96" spans="1:5" ht="33.75">
      <c r="A96" s="1" t="s">
        <v>194</v>
      </c>
      <c r="B96" s="1" t="s">
        <v>195</v>
      </c>
      <c r="C96" s="4"/>
      <c r="D96" s="4"/>
      <c r="E96" s="4"/>
    </row>
    <row r="97" spans="1:5" ht="33.75">
      <c r="A97" s="1" t="s">
        <v>196</v>
      </c>
      <c r="B97" s="1" t="s">
        <v>197</v>
      </c>
      <c r="C97" s="4"/>
      <c r="D97" s="4"/>
      <c r="E97" s="4"/>
    </row>
    <row r="98" spans="1:5" ht="33.75">
      <c r="A98" s="1" t="s">
        <v>198</v>
      </c>
      <c r="B98" s="1" t="s">
        <v>199</v>
      </c>
      <c r="C98" s="4"/>
      <c r="D98" s="4"/>
      <c r="E98" s="4"/>
    </row>
    <row r="99" spans="1:5" ht="33.75">
      <c r="A99" s="1" t="s">
        <v>200</v>
      </c>
      <c r="B99" s="1" t="s">
        <v>201</v>
      </c>
      <c r="C99" s="4">
        <v>7</v>
      </c>
      <c r="D99" s="4" t="s">
        <v>1338</v>
      </c>
      <c r="E99" s="4">
        <v>3</v>
      </c>
    </row>
    <row r="100" spans="1:5" ht="33.75">
      <c r="A100" s="1" t="s">
        <v>202</v>
      </c>
      <c r="B100" s="1" t="s">
        <v>203</v>
      </c>
      <c r="C100" s="4">
        <v>5</v>
      </c>
      <c r="D100" s="4" t="s">
        <v>1338</v>
      </c>
      <c r="E100" s="4">
        <v>3</v>
      </c>
    </row>
    <row r="101" spans="1:5" ht="33.75">
      <c r="A101" s="1" t="s">
        <v>204</v>
      </c>
      <c r="B101" s="1" t="s">
        <v>205</v>
      </c>
      <c r="C101" s="4">
        <v>5</v>
      </c>
      <c r="D101" s="4" t="s">
        <v>1338</v>
      </c>
      <c r="E101" s="4">
        <v>3</v>
      </c>
    </row>
    <row r="102" spans="1:5" ht="33.75">
      <c r="A102" s="1" t="s">
        <v>206</v>
      </c>
      <c r="B102" s="1" t="s">
        <v>207</v>
      </c>
      <c r="C102" s="4"/>
      <c r="D102" s="4"/>
      <c r="E102" s="4"/>
    </row>
    <row r="103" spans="1:5" ht="33.75">
      <c r="A103" s="1" t="s">
        <v>208</v>
      </c>
      <c r="B103" s="1" t="s">
        <v>209</v>
      </c>
      <c r="C103" s="4"/>
      <c r="D103" s="4"/>
      <c r="E103" s="4"/>
    </row>
    <row r="104" spans="1:5" ht="33.75">
      <c r="A104" s="1" t="s">
        <v>210</v>
      </c>
      <c r="B104" s="1" t="s">
        <v>211</v>
      </c>
      <c r="C104" s="4"/>
      <c r="D104" s="4"/>
      <c r="E104" s="4"/>
    </row>
    <row r="105" spans="1:5" ht="33.75">
      <c r="A105" s="1" t="s">
        <v>212</v>
      </c>
      <c r="B105" s="1" t="s">
        <v>213</v>
      </c>
      <c r="C105" s="4"/>
      <c r="D105" s="4"/>
      <c r="E105" s="4"/>
    </row>
    <row r="106" spans="1:5" ht="33.75">
      <c r="A106" s="1" t="s">
        <v>214</v>
      </c>
      <c r="B106" s="1" t="s">
        <v>215</v>
      </c>
      <c r="C106" s="4"/>
      <c r="D106" s="4"/>
      <c r="E106" s="4"/>
    </row>
    <row r="107" spans="1:5" ht="33.75">
      <c r="A107" s="1" t="s">
        <v>216</v>
      </c>
      <c r="B107" s="1" t="s">
        <v>217</v>
      </c>
      <c r="C107" s="4">
        <v>45</v>
      </c>
      <c r="D107" s="4" t="s">
        <v>1338</v>
      </c>
      <c r="E107" s="4">
        <v>3</v>
      </c>
    </row>
    <row r="108" spans="1:5" ht="33.75">
      <c r="A108" s="1" t="s">
        <v>218</v>
      </c>
      <c r="B108" s="1" t="s">
        <v>219</v>
      </c>
      <c r="C108" s="4">
        <v>11</v>
      </c>
      <c r="D108" s="4" t="s">
        <v>1338</v>
      </c>
      <c r="E108" s="4">
        <v>3</v>
      </c>
    </row>
    <row r="109" spans="1:5" ht="33.75">
      <c r="A109" s="1" t="s">
        <v>220</v>
      </c>
      <c r="B109" s="1" t="s">
        <v>221</v>
      </c>
      <c r="C109" s="4">
        <v>29</v>
      </c>
      <c r="D109" s="4" t="s">
        <v>1338</v>
      </c>
      <c r="E109" s="4">
        <v>3</v>
      </c>
    </row>
    <row r="110" spans="1:5" ht="33.75">
      <c r="A110" s="1" t="s">
        <v>222</v>
      </c>
      <c r="B110" s="1" t="s">
        <v>223</v>
      </c>
      <c r="C110" s="4">
        <v>19</v>
      </c>
      <c r="D110" s="4" t="s">
        <v>1338</v>
      </c>
      <c r="E110" s="4">
        <v>3</v>
      </c>
    </row>
    <row r="111" spans="1:5" ht="33.75">
      <c r="A111" s="1" t="s">
        <v>224</v>
      </c>
      <c r="B111" s="1" t="s">
        <v>225</v>
      </c>
      <c r="C111" s="4">
        <v>0</v>
      </c>
      <c r="D111" s="4" t="s">
        <v>1338</v>
      </c>
      <c r="E111" s="4">
        <v>3</v>
      </c>
    </row>
    <row r="112" spans="1:5" ht="33.75">
      <c r="A112" s="1" t="s">
        <v>226</v>
      </c>
      <c r="B112" s="1" t="s">
        <v>227</v>
      </c>
      <c r="C112" s="4">
        <v>6</v>
      </c>
      <c r="D112" s="4" t="s">
        <v>1338</v>
      </c>
      <c r="E112" s="4">
        <v>3</v>
      </c>
    </row>
    <row r="113" spans="1:5" ht="33.75">
      <c r="A113" s="1" t="s">
        <v>228</v>
      </c>
      <c r="B113" s="1" t="s">
        <v>229</v>
      </c>
      <c r="C113" s="4">
        <f>7+20+14</f>
        <v>41</v>
      </c>
      <c r="D113" s="4" t="s">
        <v>1338</v>
      </c>
      <c r="E113" s="4">
        <v>3</v>
      </c>
    </row>
    <row r="114" spans="1:5" ht="33.75">
      <c r="A114" s="1" t="s">
        <v>230</v>
      </c>
      <c r="B114" s="1" t="s">
        <v>231</v>
      </c>
      <c r="C114" s="4">
        <v>0</v>
      </c>
      <c r="D114" s="4" t="s">
        <v>1338</v>
      </c>
      <c r="E114" s="4">
        <v>3</v>
      </c>
    </row>
    <row r="115" spans="1:5" ht="33.75">
      <c r="A115" s="1" t="s">
        <v>232</v>
      </c>
      <c r="B115" s="1" t="s">
        <v>233</v>
      </c>
      <c r="C115" s="4">
        <v>5</v>
      </c>
      <c r="D115" s="4" t="s">
        <v>1338</v>
      </c>
      <c r="E115" s="4">
        <v>3</v>
      </c>
    </row>
    <row r="116" spans="1:5" ht="33.75">
      <c r="A116" s="1" t="s">
        <v>234</v>
      </c>
      <c r="B116" s="1" t="s">
        <v>235</v>
      </c>
      <c r="C116" s="4"/>
      <c r="D116" s="4"/>
      <c r="E116" s="4"/>
    </row>
    <row r="117" spans="1:5" ht="33.75">
      <c r="A117" s="1" t="s">
        <v>236</v>
      </c>
      <c r="B117" s="1" t="s">
        <v>237</v>
      </c>
      <c r="C117" s="4"/>
      <c r="D117" s="4"/>
      <c r="E117" s="4"/>
    </row>
    <row r="118" spans="1:5" ht="33.75">
      <c r="A118" s="1" t="s">
        <v>238</v>
      </c>
      <c r="B118" s="1" t="s">
        <v>239</v>
      </c>
      <c r="C118" s="4"/>
      <c r="D118" s="4"/>
      <c r="E118" s="4"/>
    </row>
    <row r="119" spans="1:5" ht="33.75">
      <c r="A119" s="1" t="e">
        <v>#N/A</v>
      </c>
      <c r="B119" s="1" t="s">
        <v>240</v>
      </c>
      <c r="C119" s="4"/>
      <c r="D119" s="4"/>
      <c r="E119" s="4"/>
    </row>
    <row r="120" spans="1:5" ht="33.75">
      <c r="A120" s="1" t="s">
        <v>241</v>
      </c>
      <c r="B120" s="1" t="s">
        <v>242</v>
      </c>
      <c r="C120" s="4"/>
      <c r="D120" s="4"/>
      <c r="E120" s="4"/>
    </row>
    <row r="121" spans="1:5" ht="33.75">
      <c r="A121" s="1" t="s">
        <v>243</v>
      </c>
      <c r="B121" s="1" t="s">
        <v>244</v>
      </c>
      <c r="C121" s="4"/>
      <c r="D121" s="4"/>
      <c r="E121" s="4"/>
    </row>
    <row r="122" spans="1:5" ht="33.75">
      <c r="A122" s="1" t="s">
        <v>245</v>
      </c>
      <c r="B122" s="1" t="s">
        <v>246</v>
      </c>
      <c r="C122" s="4"/>
      <c r="D122" s="4"/>
      <c r="E122" s="4"/>
    </row>
    <row r="123" spans="1:5" ht="33.75">
      <c r="A123" s="1" t="s">
        <v>247</v>
      </c>
      <c r="B123" s="1" t="s">
        <v>248</v>
      </c>
      <c r="C123" s="4"/>
      <c r="D123" s="4"/>
      <c r="E123" s="4"/>
    </row>
    <row r="124" spans="1:5" ht="33.75">
      <c r="A124" s="1" t="s">
        <v>249</v>
      </c>
      <c r="B124" s="1" t="s">
        <v>250</v>
      </c>
      <c r="C124" s="4"/>
      <c r="D124" s="4"/>
      <c r="E124" s="4"/>
    </row>
    <row r="125" spans="1:5" ht="33.75">
      <c r="A125" s="1" t="s">
        <v>251</v>
      </c>
      <c r="B125" s="1" t="s">
        <v>252</v>
      </c>
      <c r="C125" s="4"/>
      <c r="D125" s="4"/>
      <c r="E125" s="4"/>
    </row>
    <row r="126" spans="1:5" ht="33.75">
      <c r="A126" s="1" t="s">
        <v>253</v>
      </c>
      <c r="B126" s="1" t="s">
        <v>254</v>
      </c>
      <c r="C126" s="4"/>
      <c r="D126" s="4"/>
      <c r="E126" s="4"/>
    </row>
    <row r="127" spans="1:5" ht="33.75">
      <c r="A127" s="1" t="s">
        <v>255</v>
      </c>
      <c r="B127" s="1" t="s">
        <v>256</v>
      </c>
      <c r="C127" s="4"/>
      <c r="D127" s="4"/>
      <c r="E127" s="4"/>
    </row>
    <row r="128" spans="1:5" ht="33.75">
      <c r="A128" s="1" t="s">
        <v>257</v>
      </c>
      <c r="B128" s="1" t="s">
        <v>258</v>
      </c>
      <c r="C128" s="4"/>
      <c r="D128" s="4"/>
      <c r="E128" s="4"/>
    </row>
    <row r="129" spans="1:5" ht="33.75">
      <c r="A129" s="1" t="s">
        <v>259</v>
      </c>
      <c r="B129" s="1" t="s">
        <v>260</v>
      </c>
      <c r="C129" s="4"/>
      <c r="D129" s="4"/>
      <c r="E129" s="4"/>
    </row>
    <row r="130" spans="1:5" ht="33.75">
      <c r="A130" s="1" t="s">
        <v>261</v>
      </c>
      <c r="B130" s="1" t="s">
        <v>262</v>
      </c>
      <c r="C130" s="4"/>
      <c r="D130" s="4"/>
      <c r="E130" s="4"/>
    </row>
    <row r="131" spans="1:5" ht="33.75">
      <c r="A131" s="1" t="s">
        <v>263</v>
      </c>
      <c r="B131" s="1" t="s">
        <v>264</v>
      </c>
      <c r="C131" s="4"/>
      <c r="D131" s="4"/>
      <c r="E131" s="4"/>
    </row>
    <row r="132" spans="1:5" ht="33.75">
      <c r="A132" s="1" t="s">
        <v>265</v>
      </c>
      <c r="B132" s="1" t="s">
        <v>266</v>
      </c>
      <c r="C132" s="4"/>
      <c r="D132" s="4"/>
      <c r="E132" s="4"/>
    </row>
    <row r="133" spans="1:5" ht="33.75">
      <c r="A133" s="1" t="s">
        <v>267</v>
      </c>
      <c r="B133" s="1" t="s">
        <v>268</v>
      </c>
      <c r="C133" s="4"/>
      <c r="D133" s="4"/>
      <c r="E133" s="4"/>
    </row>
    <row r="134" spans="1:5" ht="33.75">
      <c r="A134" s="1" t="s">
        <v>269</v>
      </c>
      <c r="B134" s="1" t="s">
        <v>270</v>
      </c>
      <c r="C134" s="4"/>
      <c r="D134" s="4"/>
      <c r="E134" s="4"/>
    </row>
    <row r="135" spans="1:5" ht="33.75">
      <c r="A135" s="1" t="s">
        <v>271</v>
      </c>
      <c r="B135" s="1" t="s">
        <v>272</v>
      </c>
      <c r="C135" s="4"/>
      <c r="D135" s="4"/>
      <c r="E135" s="4"/>
    </row>
    <row r="136" spans="1:5" ht="33.75">
      <c r="A136" s="1" t="s">
        <v>273</v>
      </c>
      <c r="B136" s="1" t="s">
        <v>274</v>
      </c>
      <c r="C136" s="4"/>
      <c r="D136" s="4"/>
      <c r="E136" s="4"/>
    </row>
    <row r="137" spans="1:5" ht="33.75">
      <c r="A137" s="1" t="s">
        <v>275</v>
      </c>
      <c r="B137" s="1" t="s">
        <v>276</v>
      </c>
      <c r="C137" s="4"/>
      <c r="D137" s="4"/>
      <c r="E137" s="4"/>
    </row>
    <row r="138" spans="1:5" ht="33.75">
      <c r="A138" s="1" t="s">
        <v>277</v>
      </c>
      <c r="B138" s="1" t="s">
        <v>278</v>
      </c>
      <c r="C138" s="4"/>
      <c r="D138" s="4"/>
      <c r="E138" s="4"/>
    </row>
    <row r="139" spans="1:5" ht="33.75">
      <c r="A139" s="1" t="s">
        <v>279</v>
      </c>
      <c r="B139" s="1" t="s">
        <v>280</v>
      </c>
      <c r="C139" s="4"/>
      <c r="D139" s="4"/>
      <c r="E139" s="4"/>
    </row>
    <row r="140" spans="1:5" ht="33.75">
      <c r="A140" s="1" t="s">
        <v>281</v>
      </c>
      <c r="B140" s="1" t="s">
        <v>282</v>
      </c>
      <c r="C140" s="4"/>
      <c r="D140" s="4"/>
      <c r="E140" s="4"/>
    </row>
    <row r="141" spans="1:5" ht="33.75">
      <c r="A141" s="1" t="s">
        <v>283</v>
      </c>
      <c r="B141" s="1" t="s">
        <v>284</v>
      </c>
      <c r="C141" s="4"/>
      <c r="D141" s="4"/>
      <c r="E141" s="4"/>
    </row>
    <row r="142" spans="1:5" ht="33.75">
      <c r="A142" s="1" t="s">
        <v>285</v>
      </c>
      <c r="B142" s="1" t="s">
        <v>286</v>
      </c>
      <c r="C142" s="4"/>
      <c r="D142" s="4"/>
      <c r="E142" s="4"/>
    </row>
    <row r="143" spans="1:5" ht="33.75">
      <c r="A143" s="1" t="s">
        <v>287</v>
      </c>
      <c r="B143" s="1" t="s">
        <v>288</v>
      </c>
      <c r="C143" s="4"/>
      <c r="D143" s="4"/>
      <c r="E143" s="4"/>
    </row>
    <row r="144" spans="1:5" ht="33.75">
      <c r="A144" s="1" t="s">
        <v>289</v>
      </c>
      <c r="B144" s="1" t="s">
        <v>290</v>
      </c>
      <c r="C144" s="4"/>
      <c r="D144" s="4"/>
      <c r="E144" s="4"/>
    </row>
    <row r="145" spans="1:5" ht="33.75">
      <c r="A145" s="1" t="s">
        <v>291</v>
      </c>
      <c r="B145" s="1" t="s">
        <v>292</v>
      </c>
      <c r="C145" s="4"/>
      <c r="D145" s="4"/>
      <c r="E145" s="4"/>
    </row>
    <row r="146" spans="1:5" ht="33.75">
      <c r="A146" s="1" t="s">
        <v>293</v>
      </c>
      <c r="B146" s="1" t="s">
        <v>294</v>
      </c>
      <c r="C146" s="4"/>
      <c r="D146" s="4"/>
      <c r="E146" s="4"/>
    </row>
    <row r="147" spans="1:5" ht="33.75">
      <c r="A147" s="1" t="s">
        <v>295</v>
      </c>
      <c r="B147" s="1" t="s">
        <v>296</v>
      </c>
      <c r="C147" s="4"/>
      <c r="D147" s="4"/>
      <c r="E147" s="4"/>
    </row>
    <row r="148" spans="1:5" ht="33.75">
      <c r="A148" s="1" t="s">
        <v>297</v>
      </c>
      <c r="B148" s="1" t="s">
        <v>298</v>
      </c>
      <c r="C148" s="4"/>
      <c r="D148" s="4"/>
      <c r="E148" s="4"/>
    </row>
    <row r="149" spans="1:5" ht="33.75">
      <c r="A149" s="1" t="s">
        <v>299</v>
      </c>
      <c r="B149" s="1" t="s">
        <v>300</v>
      </c>
      <c r="C149" s="4"/>
      <c r="D149" s="4"/>
      <c r="E149" s="4"/>
    </row>
    <row r="150" spans="1:5" ht="33.75">
      <c r="A150" s="1" t="s">
        <v>301</v>
      </c>
      <c r="B150" s="1" t="s">
        <v>302</v>
      </c>
      <c r="C150" s="4"/>
      <c r="D150" s="4"/>
      <c r="E150" s="4"/>
    </row>
    <row r="151" spans="1:5" ht="33.75">
      <c r="A151" s="1" t="s">
        <v>303</v>
      </c>
      <c r="B151" s="1" t="s">
        <v>304</v>
      </c>
      <c r="C151" s="4"/>
      <c r="D151" s="4"/>
      <c r="E151" s="4"/>
    </row>
    <row r="152" spans="1:5" ht="33.75">
      <c r="A152" s="1" t="s">
        <v>305</v>
      </c>
      <c r="B152" s="1" t="s">
        <v>306</v>
      </c>
      <c r="C152" s="4"/>
      <c r="D152" s="4"/>
      <c r="E152" s="4"/>
    </row>
    <row r="153" spans="1:5" ht="33.75">
      <c r="A153" s="1" t="s">
        <v>307</v>
      </c>
      <c r="B153" s="1" t="s">
        <v>308</v>
      </c>
      <c r="C153" s="4"/>
      <c r="D153" s="4"/>
      <c r="E153" s="4"/>
    </row>
    <row r="154" spans="1:5" ht="33.75">
      <c r="A154" s="1" t="s">
        <v>309</v>
      </c>
      <c r="B154" s="1" t="s">
        <v>310</v>
      </c>
      <c r="C154" s="4"/>
      <c r="D154" s="4"/>
      <c r="E154" s="4"/>
    </row>
    <row r="155" spans="1:5" ht="33.75">
      <c r="A155" s="1" t="s">
        <v>311</v>
      </c>
      <c r="B155" s="1" t="s">
        <v>312</v>
      </c>
      <c r="C155" s="4"/>
      <c r="D155" s="4"/>
      <c r="E155" s="4"/>
    </row>
    <row r="156" spans="1:5" ht="33.75">
      <c r="A156" s="1" t="s">
        <v>313</v>
      </c>
      <c r="B156" s="1" t="s">
        <v>314</v>
      </c>
      <c r="C156" s="4"/>
      <c r="D156" s="4"/>
      <c r="E156" s="4"/>
    </row>
    <row r="157" spans="1:5" ht="33.75">
      <c r="A157" s="1" t="s">
        <v>315</v>
      </c>
      <c r="B157" s="1" t="s">
        <v>316</v>
      </c>
      <c r="C157" s="4"/>
      <c r="D157" s="4"/>
      <c r="E157" s="4"/>
    </row>
    <row r="158" spans="1:5" ht="33.75">
      <c r="A158" s="1" t="s">
        <v>317</v>
      </c>
      <c r="B158" s="1" t="s">
        <v>318</v>
      </c>
      <c r="C158" s="4"/>
      <c r="D158" s="4"/>
      <c r="E158" s="4"/>
    </row>
    <row r="159" spans="1:5" ht="33.75">
      <c r="A159" s="1" t="s">
        <v>319</v>
      </c>
      <c r="B159" s="1" t="s">
        <v>320</v>
      </c>
      <c r="C159" s="4"/>
      <c r="D159" s="4"/>
      <c r="E159" s="4"/>
    </row>
    <row r="160" spans="1:5" ht="33.75">
      <c r="A160" s="1" t="s">
        <v>321</v>
      </c>
      <c r="B160" s="1" t="s">
        <v>322</v>
      </c>
      <c r="C160" s="4"/>
      <c r="D160" s="4"/>
      <c r="E160" s="4"/>
    </row>
    <row r="161" spans="1:5" ht="33.75">
      <c r="A161" s="1" t="s">
        <v>323</v>
      </c>
      <c r="B161" s="1" t="s">
        <v>324</v>
      </c>
      <c r="C161" s="4"/>
      <c r="D161" s="4"/>
      <c r="E161" s="4"/>
    </row>
    <row r="162" spans="1:5" ht="33.75">
      <c r="A162" s="1" t="s">
        <v>325</v>
      </c>
      <c r="B162" s="1" t="s">
        <v>326</v>
      </c>
      <c r="C162" s="4">
        <v>15</v>
      </c>
      <c r="D162" s="4" t="s">
        <v>1331</v>
      </c>
      <c r="E162" s="4">
        <v>2</v>
      </c>
    </row>
    <row r="163" spans="1:5" ht="33.75">
      <c r="A163" s="1" t="s">
        <v>327</v>
      </c>
      <c r="B163" s="1" t="s">
        <v>328</v>
      </c>
      <c r="C163" s="4"/>
      <c r="D163" s="4"/>
      <c r="E163" s="4"/>
    </row>
    <row r="164" spans="1:5" ht="33.75">
      <c r="A164" s="1" t="s">
        <v>329</v>
      </c>
      <c r="B164" s="1" t="s">
        <v>330</v>
      </c>
      <c r="C164" s="4"/>
      <c r="D164" s="4"/>
      <c r="E164" s="4"/>
    </row>
    <row r="165" spans="1:5" ht="33.75">
      <c r="A165" s="1" t="s">
        <v>331</v>
      </c>
      <c r="B165" s="1" t="s">
        <v>332</v>
      </c>
      <c r="C165" s="4"/>
      <c r="D165" s="4"/>
      <c r="E165" s="4"/>
    </row>
    <row r="166" spans="1:5" ht="33.75">
      <c r="A166" s="1" t="s">
        <v>333</v>
      </c>
      <c r="B166" s="1" t="s">
        <v>334</v>
      </c>
      <c r="C166" s="4"/>
      <c r="D166" s="4"/>
      <c r="E166" s="4"/>
    </row>
    <row r="167" spans="1:5" ht="33.75">
      <c r="A167" s="1" t="s">
        <v>335</v>
      </c>
      <c r="B167" s="1" t="s">
        <v>336</v>
      </c>
      <c r="C167" s="4"/>
      <c r="D167" s="4"/>
      <c r="E167" s="4"/>
    </row>
    <row r="168" spans="1:5" ht="33.75">
      <c r="A168" s="1" t="s">
        <v>337</v>
      </c>
      <c r="B168" s="1" t="s">
        <v>338</v>
      </c>
      <c r="C168" s="4"/>
      <c r="D168" s="4"/>
      <c r="E168" s="4"/>
    </row>
    <row r="169" spans="1:5" ht="33.75">
      <c r="A169" s="1" t="s">
        <v>339</v>
      </c>
      <c r="B169" s="1" t="s">
        <v>340</v>
      </c>
      <c r="C169" s="4"/>
      <c r="D169" s="4"/>
      <c r="E169" s="4"/>
    </row>
    <row r="170" spans="1:5" ht="33.75">
      <c r="A170" s="1" t="s">
        <v>341</v>
      </c>
      <c r="B170" s="1" t="s">
        <v>342</v>
      </c>
      <c r="C170" s="4"/>
      <c r="D170" s="4"/>
      <c r="E170" s="4"/>
    </row>
    <row r="171" spans="1:5" ht="33.75">
      <c r="A171" s="1" t="s">
        <v>343</v>
      </c>
      <c r="B171" s="1" t="s">
        <v>344</v>
      </c>
      <c r="C171" s="4"/>
      <c r="D171" s="4"/>
      <c r="E171" s="4"/>
    </row>
    <row r="172" spans="1:5" ht="33.75">
      <c r="A172" s="1" t="s">
        <v>345</v>
      </c>
      <c r="B172" s="1" t="s">
        <v>346</v>
      </c>
      <c r="C172" s="4"/>
      <c r="D172" s="4"/>
      <c r="E172" s="4"/>
    </row>
    <row r="173" spans="1:5" ht="33.75">
      <c r="A173" s="1" t="s">
        <v>347</v>
      </c>
      <c r="B173" s="1" t="s">
        <v>348</v>
      </c>
      <c r="C173" s="4"/>
      <c r="D173" s="4"/>
      <c r="E173" s="4"/>
    </row>
    <row r="174" spans="1:5" ht="33.75">
      <c r="A174" s="1" t="s">
        <v>349</v>
      </c>
      <c r="B174" s="1" t="s">
        <v>350</v>
      </c>
      <c r="C174" s="4"/>
      <c r="D174" s="4"/>
      <c r="E174" s="4"/>
    </row>
    <row r="175" spans="1:5" ht="33.75">
      <c r="A175" s="1" t="s">
        <v>351</v>
      </c>
      <c r="B175" s="1" t="s">
        <v>352</v>
      </c>
      <c r="C175" s="4"/>
      <c r="D175" s="4"/>
      <c r="E175" s="4"/>
    </row>
    <row r="176" spans="1:5" ht="33.75">
      <c r="A176" s="1" t="s">
        <v>353</v>
      </c>
      <c r="B176" s="1" t="s">
        <v>354</v>
      </c>
      <c r="C176" s="4"/>
      <c r="D176" s="4"/>
      <c r="E176" s="4"/>
    </row>
    <row r="177" spans="1:5" ht="33.75">
      <c r="A177" s="1" t="s">
        <v>355</v>
      </c>
      <c r="B177" s="1" t="s">
        <v>356</v>
      </c>
      <c r="C177" s="4">
        <v>5</v>
      </c>
      <c r="D177" s="4" t="s">
        <v>1331</v>
      </c>
      <c r="E177" s="4">
        <v>2</v>
      </c>
    </row>
    <row r="178" spans="1:5" ht="33.75">
      <c r="A178" s="1" t="s">
        <v>357</v>
      </c>
      <c r="B178" s="1" t="s">
        <v>358</v>
      </c>
      <c r="C178" s="4">
        <v>8</v>
      </c>
      <c r="D178" s="4" t="s">
        <v>1331</v>
      </c>
      <c r="E178" s="4">
        <v>2</v>
      </c>
    </row>
    <row r="179" spans="1:5" ht="33.75">
      <c r="A179" s="1" t="s">
        <v>359</v>
      </c>
      <c r="B179" s="1" t="s">
        <v>360</v>
      </c>
      <c r="C179" s="4">
        <v>4</v>
      </c>
      <c r="D179" s="4" t="s">
        <v>1331</v>
      </c>
      <c r="E179" s="4">
        <v>2</v>
      </c>
    </row>
    <row r="180" spans="1:5" ht="33.75">
      <c r="A180" s="1" t="s">
        <v>361</v>
      </c>
      <c r="B180" s="1" t="s">
        <v>362</v>
      </c>
      <c r="C180" s="4">
        <v>16</v>
      </c>
      <c r="D180" s="4" t="s">
        <v>1331</v>
      </c>
      <c r="E180" s="4">
        <v>2</v>
      </c>
    </row>
    <row r="181" spans="1:5" ht="33.75">
      <c r="A181" s="1" t="s">
        <v>363</v>
      </c>
      <c r="B181" s="1" t="s">
        <v>364</v>
      </c>
      <c r="C181" s="4"/>
      <c r="D181" s="4"/>
      <c r="E181" s="4"/>
    </row>
    <row r="182" spans="1:5" ht="33.75">
      <c r="A182" s="1" t="e">
        <v>#N/A</v>
      </c>
      <c r="B182" s="1" t="s">
        <v>365</v>
      </c>
      <c r="C182" s="4"/>
      <c r="D182" s="4"/>
      <c r="E182" s="4"/>
    </row>
    <row r="183" spans="1:5" ht="33.75">
      <c r="A183" s="1" t="e">
        <v>#N/A</v>
      </c>
      <c r="B183" s="1" t="s">
        <v>366</v>
      </c>
      <c r="C183" s="4"/>
      <c r="D183" s="4"/>
      <c r="E183" s="4"/>
    </row>
    <row r="184" spans="1:5" ht="33.75">
      <c r="A184" s="1" t="e">
        <v>#N/A</v>
      </c>
      <c r="B184" s="1" t="s">
        <v>367</v>
      </c>
      <c r="C184" s="4"/>
      <c r="D184" s="4"/>
      <c r="E184" s="4"/>
    </row>
    <row r="185" spans="1:5" ht="33.75">
      <c r="A185" s="1" t="s">
        <v>368</v>
      </c>
      <c r="B185" s="1" t="s">
        <v>369</v>
      </c>
      <c r="C185" s="4"/>
      <c r="D185" s="4"/>
      <c r="E185" s="4"/>
    </row>
    <row r="186" spans="1:5" ht="33.75">
      <c r="A186" s="1" t="s">
        <v>370</v>
      </c>
      <c r="B186" s="1" t="s">
        <v>371</v>
      </c>
      <c r="C186" s="4"/>
      <c r="D186" s="4"/>
      <c r="E186" s="4"/>
    </row>
    <row r="187" spans="1:5" ht="33.75">
      <c r="A187" s="1" t="s">
        <v>372</v>
      </c>
      <c r="B187" s="1" t="s">
        <v>373</v>
      </c>
      <c r="C187" s="4"/>
      <c r="D187" s="4"/>
      <c r="E187" s="4"/>
    </row>
    <row r="188" spans="1:5" ht="33.75">
      <c r="A188" s="1" t="s">
        <v>374</v>
      </c>
      <c r="B188" s="1" t="s">
        <v>375</v>
      </c>
      <c r="C188" s="4"/>
      <c r="D188" s="4"/>
      <c r="E188" s="4"/>
    </row>
    <row r="189" spans="1:5" ht="33.75">
      <c r="A189" s="1" t="s">
        <v>376</v>
      </c>
      <c r="B189" s="1" t="s">
        <v>377</v>
      </c>
      <c r="C189" s="4"/>
      <c r="D189" s="4"/>
      <c r="E189" s="4"/>
    </row>
    <row r="190" spans="1:5" ht="33.75">
      <c r="A190" s="1" t="s">
        <v>378</v>
      </c>
      <c r="B190" s="1" t="s">
        <v>379</v>
      </c>
      <c r="C190" s="4"/>
      <c r="D190" s="4"/>
      <c r="E190" s="4"/>
    </row>
    <row r="191" spans="1:5" ht="33.75">
      <c r="A191" s="1" t="s">
        <v>380</v>
      </c>
      <c r="B191" s="1" t="s">
        <v>381</v>
      </c>
      <c r="C191" s="4"/>
      <c r="D191" s="4"/>
      <c r="E191" s="4"/>
    </row>
    <row r="192" spans="1:5" ht="33.75">
      <c r="A192" s="1" t="s">
        <v>382</v>
      </c>
      <c r="B192" s="1" t="s">
        <v>383</v>
      </c>
      <c r="C192" s="4"/>
      <c r="D192" s="4"/>
      <c r="E192" s="4"/>
    </row>
    <row r="193" spans="1:8" ht="33.75">
      <c r="A193" s="1" t="s">
        <v>384</v>
      </c>
      <c r="B193" s="1" t="s">
        <v>385</v>
      </c>
      <c r="C193" s="4">
        <v>500</v>
      </c>
      <c r="D193" s="4" t="s">
        <v>1333</v>
      </c>
      <c r="E193" s="4">
        <v>3</v>
      </c>
    </row>
    <row r="194" spans="1:8" ht="33.75">
      <c r="A194" s="1" t="s">
        <v>386</v>
      </c>
      <c r="B194" s="1" t="s">
        <v>387</v>
      </c>
      <c r="C194" s="4"/>
      <c r="D194" s="4"/>
      <c r="E194" s="4"/>
    </row>
    <row r="195" spans="1:8" ht="33.75">
      <c r="A195" s="1" t="s">
        <v>388</v>
      </c>
      <c r="B195" s="1" t="s">
        <v>389</v>
      </c>
      <c r="C195" s="4"/>
      <c r="D195" s="4"/>
      <c r="E195" s="4"/>
    </row>
    <row r="196" spans="1:8" ht="33.75">
      <c r="A196" s="1" t="s">
        <v>390</v>
      </c>
      <c r="B196" s="1" t="s">
        <v>391</v>
      </c>
      <c r="C196" s="4"/>
      <c r="D196" s="4"/>
      <c r="E196" s="4"/>
    </row>
    <row r="197" spans="1:8" ht="33.75">
      <c r="A197" s="1" t="s">
        <v>392</v>
      </c>
      <c r="B197" s="1" t="s">
        <v>393</v>
      </c>
      <c r="C197" s="4"/>
      <c r="D197" s="4"/>
      <c r="E197" s="4"/>
    </row>
    <row r="198" spans="1:8" ht="33.75">
      <c r="A198" s="1" t="s">
        <v>394</v>
      </c>
      <c r="B198" s="1" t="s">
        <v>395</v>
      </c>
      <c r="C198" s="4">
        <v>16</v>
      </c>
      <c r="D198" s="4" t="s">
        <v>1338</v>
      </c>
      <c r="E198" s="4">
        <v>3</v>
      </c>
    </row>
    <row r="199" spans="1:8" ht="33.75">
      <c r="A199" s="1" t="s">
        <v>396</v>
      </c>
      <c r="B199" s="1" t="s">
        <v>397</v>
      </c>
      <c r="C199" s="4">
        <v>18</v>
      </c>
      <c r="D199" s="4" t="s">
        <v>1338</v>
      </c>
      <c r="E199" s="4">
        <v>3</v>
      </c>
    </row>
    <row r="200" spans="1:8" ht="33.75">
      <c r="A200" s="1" t="s">
        <v>398</v>
      </c>
      <c r="B200" s="1" t="s">
        <v>399</v>
      </c>
      <c r="C200" s="4">
        <v>7</v>
      </c>
      <c r="D200" s="4" t="s">
        <v>1338</v>
      </c>
      <c r="E200" s="4">
        <v>3</v>
      </c>
    </row>
    <row r="201" spans="1:8" ht="33.75">
      <c r="A201" s="1" t="s">
        <v>400</v>
      </c>
      <c r="B201" s="1" t="s">
        <v>401</v>
      </c>
      <c r="C201" s="4">
        <v>19</v>
      </c>
      <c r="D201" s="4" t="s">
        <v>1338</v>
      </c>
      <c r="E201" s="4">
        <v>3</v>
      </c>
    </row>
    <row r="202" spans="1:8" ht="33.75">
      <c r="A202" s="1" t="s">
        <v>402</v>
      </c>
      <c r="B202" s="1" t="s">
        <v>403</v>
      </c>
      <c r="C202" s="4">
        <v>18</v>
      </c>
      <c r="D202" s="4" t="s">
        <v>1338</v>
      </c>
      <c r="E202" s="4">
        <v>3</v>
      </c>
    </row>
    <row r="203" spans="1:8" ht="33.75">
      <c r="A203" s="1" t="s">
        <v>404</v>
      </c>
      <c r="B203" s="1" t="s">
        <v>405</v>
      </c>
      <c r="C203" s="4">
        <v>18</v>
      </c>
      <c r="D203" s="4" t="s">
        <v>1338</v>
      </c>
      <c r="E203" s="4">
        <v>3</v>
      </c>
    </row>
    <row r="204" spans="1:8" ht="33.75">
      <c r="A204" s="1" t="s">
        <v>406</v>
      </c>
      <c r="B204" s="1" t="s">
        <v>407</v>
      </c>
      <c r="C204" s="4">
        <v>17</v>
      </c>
      <c r="D204" s="4" t="s">
        <v>1338</v>
      </c>
      <c r="E204" s="4">
        <v>3</v>
      </c>
    </row>
    <row r="205" spans="1:8" ht="33.75">
      <c r="A205" s="1" t="s">
        <v>408</v>
      </c>
      <c r="B205" s="1" t="s">
        <v>409</v>
      </c>
      <c r="C205" s="4">
        <v>23</v>
      </c>
      <c r="D205" s="4" t="s">
        <v>1338</v>
      </c>
      <c r="E205" s="4">
        <v>3</v>
      </c>
    </row>
    <row r="206" spans="1:8" ht="33.75">
      <c r="A206" s="1" t="s">
        <v>410</v>
      </c>
      <c r="B206" s="1" t="s">
        <v>411</v>
      </c>
      <c r="C206" s="4">
        <v>9</v>
      </c>
      <c r="D206" s="4" t="s">
        <v>1338</v>
      </c>
      <c r="E206" s="4">
        <v>3</v>
      </c>
    </row>
    <row r="207" spans="1:8" ht="33.75">
      <c r="A207" s="1" t="s">
        <v>412</v>
      </c>
      <c r="B207" s="1" t="s">
        <v>413</v>
      </c>
      <c r="C207" s="4">
        <v>0</v>
      </c>
      <c r="D207" s="4" t="s">
        <v>1338</v>
      </c>
      <c r="E207" s="4">
        <v>3</v>
      </c>
      <c r="H207" s="9" t="s">
        <v>1332</v>
      </c>
    </row>
    <row r="208" spans="1:8" ht="33.75">
      <c r="A208" s="1" t="s">
        <v>414</v>
      </c>
      <c r="B208" s="1" t="s">
        <v>415</v>
      </c>
      <c r="C208" s="4">
        <v>17</v>
      </c>
      <c r="D208" s="4" t="s">
        <v>1338</v>
      </c>
      <c r="E208" s="4">
        <v>3</v>
      </c>
    </row>
    <row r="209" spans="1:5" ht="33.75">
      <c r="A209" s="1" t="s">
        <v>416</v>
      </c>
      <c r="B209" s="1" t="s">
        <v>417</v>
      </c>
      <c r="C209" s="4"/>
      <c r="D209" s="4"/>
      <c r="E209" s="4"/>
    </row>
    <row r="210" spans="1:5" ht="33.75">
      <c r="A210" s="1" t="s">
        <v>418</v>
      </c>
      <c r="B210" s="1" t="s">
        <v>419</v>
      </c>
      <c r="C210" s="4"/>
      <c r="D210" s="4"/>
      <c r="E210" s="4"/>
    </row>
    <row r="211" spans="1:5" ht="33.75">
      <c r="A211" s="1" t="s">
        <v>420</v>
      </c>
      <c r="B211" s="1" t="s">
        <v>421</v>
      </c>
      <c r="C211" s="4">
        <v>15</v>
      </c>
      <c r="D211" s="4" t="s">
        <v>1338</v>
      </c>
      <c r="E211" s="4">
        <v>3</v>
      </c>
    </row>
    <row r="212" spans="1:5" ht="33.75">
      <c r="A212" s="1" t="s">
        <v>422</v>
      </c>
      <c r="B212" s="1" t="s">
        <v>423</v>
      </c>
      <c r="C212" s="4">
        <v>27</v>
      </c>
      <c r="D212" s="4" t="s">
        <v>7</v>
      </c>
      <c r="E212" s="4">
        <v>1</v>
      </c>
    </row>
    <row r="213" spans="1:5" ht="33.75">
      <c r="A213" s="1" t="s">
        <v>424</v>
      </c>
      <c r="B213" s="1" t="s">
        <v>425</v>
      </c>
      <c r="C213" s="4">
        <v>4</v>
      </c>
      <c r="D213" s="4" t="s">
        <v>7</v>
      </c>
      <c r="E213" s="4">
        <v>1</v>
      </c>
    </row>
    <row r="214" spans="1:5" ht="33.75">
      <c r="A214" s="1" t="s">
        <v>426</v>
      </c>
      <c r="B214" s="1" t="s">
        <v>427</v>
      </c>
      <c r="C214" s="4"/>
      <c r="D214" s="4"/>
      <c r="E214" s="4"/>
    </row>
    <row r="215" spans="1:5" ht="33.75">
      <c r="A215" s="1" t="s">
        <v>428</v>
      </c>
      <c r="B215" s="1" t="s">
        <v>429</v>
      </c>
      <c r="C215" s="4"/>
      <c r="D215" s="4"/>
      <c r="E215" s="4"/>
    </row>
    <row r="216" spans="1:5" ht="33.75">
      <c r="A216" s="1" t="s">
        <v>430</v>
      </c>
      <c r="B216" s="1" t="s">
        <v>431</v>
      </c>
      <c r="C216" s="4"/>
      <c r="D216" s="4"/>
      <c r="E216" s="4"/>
    </row>
    <row r="217" spans="1:5" ht="33.75">
      <c r="A217" s="1" t="s">
        <v>432</v>
      </c>
      <c r="B217" s="1" t="s">
        <v>433</v>
      </c>
      <c r="C217" s="4"/>
      <c r="D217" s="4"/>
      <c r="E217" s="4"/>
    </row>
    <row r="218" spans="1:5" ht="33.75">
      <c r="A218" s="1" t="s">
        <v>434</v>
      </c>
      <c r="B218" s="1" t="s">
        <v>435</v>
      </c>
      <c r="C218" s="4">
        <v>11</v>
      </c>
      <c r="D218" s="4" t="s">
        <v>7</v>
      </c>
      <c r="E218" s="4">
        <v>4</v>
      </c>
    </row>
    <row r="219" spans="1:5" ht="33.75">
      <c r="A219" s="1" t="s">
        <v>436</v>
      </c>
      <c r="B219" s="1" t="s">
        <v>437</v>
      </c>
      <c r="C219" s="4">
        <v>12</v>
      </c>
      <c r="D219" s="4" t="s">
        <v>7</v>
      </c>
      <c r="E219" s="4">
        <v>5</v>
      </c>
    </row>
    <row r="220" spans="1:5" ht="33.75">
      <c r="A220" s="1" t="s">
        <v>438</v>
      </c>
      <c r="B220" s="1" t="s">
        <v>439</v>
      </c>
      <c r="C220" s="4">
        <v>2</v>
      </c>
      <c r="D220" s="4" t="s">
        <v>7</v>
      </c>
      <c r="E220" s="4">
        <v>5</v>
      </c>
    </row>
    <row r="221" spans="1:5" ht="33.75">
      <c r="A221" s="1" t="s">
        <v>440</v>
      </c>
      <c r="B221" s="1" t="s">
        <v>441</v>
      </c>
      <c r="C221" s="4">
        <v>5</v>
      </c>
      <c r="D221" s="4" t="s">
        <v>7</v>
      </c>
      <c r="E221" s="4">
        <v>4</v>
      </c>
    </row>
    <row r="222" spans="1:5" ht="33.75">
      <c r="A222" s="1" t="s">
        <v>442</v>
      </c>
      <c r="B222" s="3" t="s">
        <v>443</v>
      </c>
      <c r="C222" s="4"/>
      <c r="D222" s="4"/>
      <c r="E222" s="4"/>
    </row>
    <row r="223" spans="1:5" ht="33.75">
      <c r="A223" s="1" t="s">
        <v>444</v>
      </c>
      <c r="B223" s="1" t="s">
        <v>445</v>
      </c>
      <c r="C223" s="4">
        <v>5</v>
      </c>
      <c r="D223" s="4" t="s">
        <v>7</v>
      </c>
      <c r="E223" s="4">
        <v>4</v>
      </c>
    </row>
    <row r="224" spans="1:5" ht="33.75">
      <c r="A224" s="1" t="s">
        <v>446</v>
      </c>
      <c r="B224" s="1" t="s">
        <v>447</v>
      </c>
      <c r="C224" s="4">
        <v>6</v>
      </c>
      <c r="D224" s="4" t="s">
        <v>7</v>
      </c>
      <c r="E224" s="4">
        <v>4</v>
      </c>
    </row>
    <row r="225" spans="1:5" ht="33.75">
      <c r="A225" s="1" t="s">
        <v>448</v>
      </c>
      <c r="B225" s="1" t="s">
        <v>449</v>
      </c>
      <c r="C225" s="4">
        <v>18</v>
      </c>
      <c r="D225" s="4" t="s">
        <v>7</v>
      </c>
      <c r="E225" s="4">
        <v>4</v>
      </c>
    </row>
    <row r="226" spans="1:5" ht="33.75">
      <c r="A226" s="1" t="s">
        <v>450</v>
      </c>
      <c r="B226" s="1" t="s">
        <v>451</v>
      </c>
      <c r="C226" s="4">
        <v>33</v>
      </c>
      <c r="D226" s="4" t="s">
        <v>7</v>
      </c>
      <c r="E226" s="4">
        <v>5</v>
      </c>
    </row>
    <row r="227" spans="1:5" ht="33.75">
      <c r="A227" s="1" t="s">
        <v>452</v>
      </c>
      <c r="B227" s="1" t="s">
        <v>453</v>
      </c>
      <c r="C227" s="4">
        <v>50</v>
      </c>
      <c r="D227" s="4" t="s">
        <v>7</v>
      </c>
      <c r="E227" s="4">
        <v>3</v>
      </c>
    </row>
    <row r="228" spans="1:5" ht="33.75">
      <c r="A228" s="1" t="s">
        <v>454</v>
      </c>
      <c r="B228" s="1" t="s">
        <v>455</v>
      </c>
      <c r="C228" s="4">
        <v>63</v>
      </c>
      <c r="D228" s="4" t="s">
        <v>7</v>
      </c>
      <c r="E228" s="4">
        <v>3</v>
      </c>
    </row>
    <row r="229" spans="1:5" ht="33.75">
      <c r="A229" s="1" t="s">
        <v>456</v>
      </c>
      <c r="B229" s="1" t="s">
        <v>457</v>
      </c>
      <c r="C229" s="4">
        <v>15</v>
      </c>
      <c r="D229" s="4" t="s">
        <v>7</v>
      </c>
      <c r="E229" s="4">
        <v>3</v>
      </c>
    </row>
    <row r="230" spans="1:5" ht="33.75">
      <c r="A230" s="1" t="s">
        <v>458</v>
      </c>
      <c r="B230" s="1" t="s">
        <v>459</v>
      </c>
      <c r="C230" s="4">
        <v>11</v>
      </c>
      <c r="D230" s="4" t="s">
        <v>7</v>
      </c>
      <c r="E230" s="4">
        <v>4</v>
      </c>
    </row>
    <row r="231" spans="1:5" ht="33.75">
      <c r="A231" s="1" t="s">
        <v>460</v>
      </c>
      <c r="B231" s="1" t="s">
        <v>461</v>
      </c>
      <c r="C231" s="4">
        <v>1</v>
      </c>
      <c r="D231" s="4" t="s">
        <v>7</v>
      </c>
      <c r="E231" s="4">
        <v>5</v>
      </c>
    </row>
    <row r="232" spans="1:5" ht="33.75">
      <c r="A232" s="1" t="s">
        <v>462</v>
      </c>
      <c r="B232" s="3" t="s">
        <v>463</v>
      </c>
      <c r="C232" s="4"/>
      <c r="D232" s="4"/>
      <c r="E232" s="4"/>
    </row>
    <row r="233" spans="1:5" ht="33.75">
      <c r="A233" s="1" t="s">
        <v>464</v>
      </c>
      <c r="B233" s="1" t="s">
        <v>465</v>
      </c>
      <c r="C233" s="4">
        <v>19</v>
      </c>
      <c r="D233" s="4" t="s">
        <v>7</v>
      </c>
      <c r="E233" s="4">
        <v>5</v>
      </c>
    </row>
    <row r="234" spans="1:5" ht="33.75">
      <c r="A234" s="1" t="s">
        <v>466</v>
      </c>
      <c r="B234" s="1" t="s">
        <v>467</v>
      </c>
      <c r="C234" s="4">
        <v>3</v>
      </c>
      <c r="D234" s="4" t="s">
        <v>7</v>
      </c>
      <c r="E234" s="4">
        <v>5</v>
      </c>
    </row>
    <row r="235" spans="1:5" ht="33.75">
      <c r="A235" s="1" t="s">
        <v>468</v>
      </c>
      <c r="B235" s="1" t="s">
        <v>469</v>
      </c>
      <c r="C235" s="4">
        <f>8+16</f>
        <v>24</v>
      </c>
      <c r="D235" s="4" t="s">
        <v>7</v>
      </c>
      <c r="E235" s="4">
        <v>4</v>
      </c>
    </row>
    <row r="236" spans="1:5" ht="33.75">
      <c r="A236" s="1" t="s">
        <v>470</v>
      </c>
      <c r="B236" s="1" t="s">
        <v>471</v>
      </c>
      <c r="C236" s="4">
        <v>5</v>
      </c>
      <c r="D236" s="4" t="s">
        <v>7</v>
      </c>
      <c r="E236" s="4">
        <v>3</v>
      </c>
    </row>
    <row r="237" spans="1:5" ht="33.75">
      <c r="A237" s="1" t="s">
        <v>472</v>
      </c>
      <c r="B237" s="1" t="s">
        <v>473</v>
      </c>
      <c r="C237" s="4">
        <v>16</v>
      </c>
      <c r="D237" s="4" t="s">
        <v>7</v>
      </c>
      <c r="E237" s="4">
        <v>4</v>
      </c>
    </row>
    <row r="238" spans="1:5" ht="33.75">
      <c r="A238" s="1" t="s">
        <v>474</v>
      </c>
      <c r="B238" s="1" t="s">
        <v>475</v>
      </c>
      <c r="C238" s="4">
        <v>1</v>
      </c>
      <c r="D238" s="4" t="s">
        <v>7</v>
      </c>
      <c r="E238" s="4">
        <v>5</v>
      </c>
    </row>
    <row r="239" spans="1:5" ht="33.75">
      <c r="A239" s="1" t="s">
        <v>476</v>
      </c>
      <c r="B239" s="1" t="s">
        <v>477</v>
      </c>
      <c r="C239" s="4">
        <f>41+24</f>
        <v>65</v>
      </c>
      <c r="D239" s="4" t="s">
        <v>7</v>
      </c>
      <c r="E239" s="4">
        <v>3</v>
      </c>
    </row>
    <row r="240" spans="1:5" ht="33.75">
      <c r="A240" s="1" t="s">
        <v>478</v>
      </c>
      <c r="B240" s="1" t="s">
        <v>479</v>
      </c>
      <c r="C240" s="4">
        <v>21</v>
      </c>
      <c r="D240" s="4" t="s">
        <v>7</v>
      </c>
      <c r="E240" s="4">
        <v>5</v>
      </c>
    </row>
    <row r="241" spans="1:5" ht="33.75">
      <c r="A241" s="1" t="s">
        <v>480</v>
      </c>
      <c r="B241" s="1" t="s">
        <v>481</v>
      </c>
      <c r="C241" s="4">
        <v>22</v>
      </c>
      <c r="D241" s="4" t="s">
        <v>7</v>
      </c>
      <c r="E241" s="4">
        <v>5</v>
      </c>
    </row>
    <row r="242" spans="1:5" ht="33.75">
      <c r="A242" s="1">
        <v>7780</v>
      </c>
      <c r="B242" s="2" t="s">
        <v>1329</v>
      </c>
      <c r="C242" s="4">
        <v>14</v>
      </c>
      <c r="D242" s="4" t="s">
        <v>7</v>
      </c>
      <c r="E242" s="4">
        <v>5</v>
      </c>
    </row>
    <row r="243" spans="1:5" ht="33.75">
      <c r="A243" s="1" t="s">
        <v>482</v>
      </c>
      <c r="B243" s="1" t="s">
        <v>483</v>
      </c>
      <c r="C243" s="4">
        <v>8</v>
      </c>
      <c r="D243" s="4" t="s">
        <v>7</v>
      </c>
      <c r="E243" s="4">
        <v>4</v>
      </c>
    </row>
    <row r="244" spans="1:5" ht="33.75">
      <c r="A244" s="1" t="s">
        <v>484</v>
      </c>
      <c r="B244" s="1" t="s">
        <v>485</v>
      </c>
      <c r="C244" s="4">
        <v>4</v>
      </c>
      <c r="D244" s="4" t="s">
        <v>7</v>
      </c>
      <c r="E244" s="4">
        <v>5</v>
      </c>
    </row>
    <row r="245" spans="1:5" ht="33.75">
      <c r="A245" s="1" t="s">
        <v>486</v>
      </c>
      <c r="B245" s="1" t="s">
        <v>1336</v>
      </c>
      <c r="C245" s="4">
        <v>1</v>
      </c>
      <c r="D245" s="4" t="s">
        <v>7</v>
      </c>
      <c r="E245" s="4">
        <v>5</v>
      </c>
    </row>
    <row r="246" spans="1:5" ht="33.75">
      <c r="A246" s="1" t="s">
        <v>487</v>
      </c>
      <c r="B246" s="3" t="s">
        <v>488</v>
      </c>
      <c r="C246" s="4"/>
      <c r="D246" s="4"/>
      <c r="E246" s="4"/>
    </row>
    <row r="247" spans="1:5" ht="33.75">
      <c r="A247" s="1" t="s">
        <v>489</v>
      </c>
      <c r="B247" s="1" t="s">
        <v>490</v>
      </c>
      <c r="C247" s="4">
        <v>13</v>
      </c>
      <c r="D247" s="4" t="s">
        <v>7</v>
      </c>
      <c r="E247" s="4">
        <v>3</v>
      </c>
    </row>
    <row r="248" spans="1:5" ht="33.75">
      <c r="A248" s="1" t="s">
        <v>491</v>
      </c>
      <c r="B248" s="1" t="s">
        <v>492</v>
      </c>
      <c r="C248" s="4">
        <v>6</v>
      </c>
      <c r="D248" s="4" t="s">
        <v>7</v>
      </c>
      <c r="E248" s="4">
        <v>4</v>
      </c>
    </row>
    <row r="249" spans="1:5" ht="33.75">
      <c r="A249" s="1" t="s">
        <v>493</v>
      </c>
      <c r="B249" s="1" t="s">
        <v>494</v>
      </c>
      <c r="C249" s="4">
        <v>10</v>
      </c>
      <c r="D249" s="4" t="s">
        <v>7</v>
      </c>
      <c r="E249" s="4">
        <v>4</v>
      </c>
    </row>
    <row r="250" spans="1:5" ht="33.75">
      <c r="A250" s="1" t="s">
        <v>495</v>
      </c>
      <c r="B250" s="1" t="s">
        <v>496</v>
      </c>
      <c r="C250" s="4">
        <v>2</v>
      </c>
      <c r="D250" s="4" t="s">
        <v>7</v>
      </c>
      <c r="E250" s="4">
        <v>4</v>
      </c>
    </row>
    <row r="251" spans="1:5" ht="33.75">
      <c r="A251" s="1" t="s">
        <v>497</v>
      </c>
      <c r="B251" s="1" t="s">
        <v>498</v>
      </c>
      <c r="C251" s="4">
        <v>37</v>
      </c>
      <c r="D251" s="4" t="s">
        <v>7</v>
      </c>
      <c r="E251" s="4">
        <v>5</v>
      </c>
    </row>
    <row r="252" spans="1:5" ht="33.75">
      <c r="A252" s="1" t="s">
        <v>499</v>
      </c>
      <c r="B252" s="1" t="s">
        <v>500</v>
      </c>
      <c r="C252" s="4">
        <v>17</v>
      </c>
      <c r="D252" s="4" t="s">
        <v>7</v>
      </c>
      <c r="E252" s="4">
        <v>5</v>
      </c>
    </row>
    <row r="253" spans="1:5" ht="33.75">
      <c r="A253" s="1" t="s">
        <v>501</v>
      </c>
      <c r="B253" s="1" t="s">
        <v>502</v>
      </c>
      <c r="C253" s="4">
        <v>18</v>
      </c>
      <c r="D253" s="4" t="s">
        <v>7</v>
      </c>
      <c r="E253" s="4">
        <v>5</v>
      </c>
    </row>
    <row r="254" spans="1:5" ht="33.75">
      <c r="A254" s="1" t="s">
        <v>503</v>
      </c>
      <c r="B254" s="1" t="s">
        <v>504</v>
      </c>
      <c r="C254" s="4">
        <v>3</v>
      </c>
      <c r="D254" s="4" t="s">
        <v>7</v>
      </c>
      <c r="E254" s="4">
        <v>4</v>
      </c>
    </row>
    <row r="255" spans="1:5" ht="33.75">
      <c r="A255" s="1" t="s">
        <v>505</v>
      </c>
      <c r="B255" s="1" t="s">
        <v>506</v>
      </c>
      <c r="C255" s="4">
        <v>3</v>
      </c>
      <c r="D255" s="4" t="s">
        <v>7</v>
      </c>
      <c r="E255" s="4">
        <v>5</v>
      </c>
    </row>
    <row r="256" spans="1:5" ht="33.75">
      <c r="A256" s="1" t="s">
        <v>507</v>
      </c>
      <c r="B256" s="1" t="s">
        <v>508</v>
      </c>
      <c r="C256" s="4">
        <v>2</v>
      </c>
      <c r="D256" s="4" t="s">
        <v>7</v>
      </c>
      <c r="E256" s="4">
        <v>4</v>
      </c>
    </row>
    <row r="257" spans="1:5" ht="33.75">
      <c r="A257" s="1" t="s">
        <v>509</v>
      </c>
      <c r="B257" s="1" t="s">
        <v>510</v>
      </c>
      <c r="C257" s="4">
        <v>1</v>
      </c>
      <c r="D257" s="4" t="s">
        <v>7</v>
      </c>
      <c r="E257" s="4">
        <v>5</v>
      </c>
    </row>
    <row r="258" spans="1:5" ht="33.75">
      <c r="A258" s="1" t="s">
        <v>511</v>
      </c>
      <c r="B258" s="3" t="s">
        <v>512</v>
      </c>
      <c r="C258" s="4"/>
      <c r="D258" s="4"/>
      <c r="E258" s="4"/>
    </row>
    <row r="259" spans="1:5" ht="33.75">
      <c r="A259" s="1" t="s">
        <v>513</v>
      </c>
      <c r="B259" s="1" t="s">
        <v>514</v>
      </c>
      <c r="C259" s="4">
        <v>1</v>
      </c>
      <c r="D259" s="4" t="s">
        <v>7</v>
      </c>
      <c r="E259" s="4">
        <v>5</v>
      </c>
    </row>
    <row r="260" spans="1:5" ht="33.75">
      <c r="A260" s="1" t="s">
        <v>515</v>
      </c>
      <c r="B260" s="1" t="s">
        <v>516</v>
      </c>
      <c r="C260" s="4">
        <v>5</v>
      </c>
      <c r="D260" s="4" t="s">
        <v>7</v>
      </c>
      <c r="E260" s="4">
        <v>4</v>
      </c>
    </row>
    <row r="261" spans="1:5" ht="33.75">
      <c r="A261" s="1" t="s">
        <v>517</v>
      </c>
      <c r="B261" s="1" t="s">
        <v>518</v>
      </c>
      <c r="C261" s="4">
        <v>1</v>
      </c>
      <c r="D261" s="4" t="s">
        <v>7</v>
      </c>
      <c r="E261" s="4">
        <v>5</v>
      </c>
    </row>
    <row r="262" spans="1:5" ht="33.75">
      <c r="A262" s="1" t="s">
        <v>519</v>
      </c>
      <c r="B262" s="1" t="s">
        <v>520</v>
      </c>
      <c r="C262" s="4">
        <v>3</v>
      </c>
      <c r="D262" s="4" t="s">
        <v>7</v>
      </c>
      <c r="E262" s="4">
        <v>5</v>
      </c>
    </row>
    <row r="263" spans="1:5" ht="33.75">
      <c r="A263" s="1" t="s">
        <v>521</v>
      </c>
      <c r="B263" s="1" t="s">
        <v>522</v>
      </c>
      <c r="C263" s="4">
        <v>41</v>
      </c>
      <c r="D263" s="4" t="s">
        <v>7</v>
      </c>
      <c r="E263" s="4">
        <v>4</v>
      </c>
    </row>
    <row r="264" spans="1:5" ht="33.75">
      <c r="A264" s="1" t="s">
        <v>523</v>
      </c>
      <c r="B264" s="1" t="s">
        <v>524</v>
      </c>
      <c r="C264" s="4">
        <v>8</v>
      </c>
      <c r="D264" s="4" t="s">
        <v>7</v>
      </c>
      <c r="E264" s="4">
        <v>4</v>
      </c>
    </row>
    <row r="265" spans="1:5" ht="33.75">
      <c r="A265" s="1" t="s">
        <v>525</v>
      </c>
      <c r="B265" s="1" t="s">
        <v>526</v>
      </c>
      <c r="C265" s="4">
        <v>1</v>
      </c>
      <c r="D265" s="4" t="s">
        <v>7</v>
      </c>
      <c r="E265" s="4">
        <v>5</v>
      </c>
    </row>
    <row r="266" spans="1:5" ht="33.75">
      <c r="A266" s="1" t="s">
        <v>527</v>
      </c>
      <c r="B266" s="1" t="s">
        <v>528</v>
      </c>
      <c r="C266" s="4">
        <v>2</v>
      </c>
      <c r="D266" s="4" t="s">
        <v>7</v>
      </c>
      <c r="E266" s="4">
        <v>5</v>
      </c>
    </row>
    <row r="267" spans="1:5" ht="33.75">
      <c r="A267" s="1" t="s">
        <v>529</v>
      </c>
      <c r="B267" s="1" t="s">
        <v>530</v>
      </c>
      <c r="C267" s="4">
        <v>1</v>
      </c>
      <c r="D267" s="4" t="s">
        <v>7</v>
      </c>
      <c r="E267" s="4">
        <v>5</v>
      </c>
    </row>
    <row r="268" spans="1:5" ht="33.75">
      <c r="A268" s="1">
        <v>48632</v>
      </c>
      <c r="B268" s="1" t="s">
        <v>531</v>
      </c>
      <c r="C268" s="4"/>
      <c r="D268" s="4"/>
      <c r="E268" s="4"/>
    </row>
    <row r="269" spans="1:5" ht="33.75">
      <c r="A269" s="1" t="s">
        <v>532</v>
      </c>
      <c r="B269" s="1" t="s">
        <v>533</v>
      </c>
      <c r="C269" s="4"/>
      <c r="D269" s="4"/>
      <c r="E269" s="4"/>
    </row>
    <row r="270" spans="1:5" ht="33.75">
      <c r="A270" s="1" t="s">
        <v>534</v>
      </c>
      <c r="B270" s="1" t="s">
        <v>535</v>
      </c>
      <c r="C270" s="4"/>
      <c r="D270" s="4"/>
      <c r="E270" s="4"/>
    </row>
    <row r="271" spans="1:5" ht="33.75">
      <c r="A271" s="1" t="s">
        <v>536</v>
      </c>
      <c r="B271" s="1" t="s">
        <v>537</v>
      </c>
      <c r="C271" s="4"/>
      <c r="D271" s="4"/>
      <c r="E271" s="4"/>
    </row>
    <row r="272" spans="1:5" ht="33.75">
      <c r="A272" s="1" t="s">
        <v>538</v>
      </c>
      <c r="B272" s="1" t="s">
        <v>539</v>
      </c>
      <c r="C272" s="4"/>
      <c r="D272" s="4"/>
      <c r="E272" s="4"/>
    </row>
    <row r="273" spans="1:5" ht="33.75">
      <c r="A273" s="1" t="s">
        <v>540</v>
      </c>
      <c r="B273" s="1" t="s">
        <v>541</v>
      </c>
      <c r="C273" s="4"/>
      <c r="D273" s="4"/>
      <c r="E273" s="4"/>
    </row>
    <row r="274" spans="1:5" ht="33.75">
      <c r="A274" s="1" t="s">
        <v>542</v>
      </c>
      <c r="B274" s="1" t="s">
        <v>543</v>
      </c>
      <c r="C274" s="4"/>
      <c r="D274" s="4"/>
      <c r="E274" s="4"/>
    </row>
    <row r="275" spans="1:5" ht="33.75">
      <c r="A275" s="1" t="s">
        <v>544</v>
      </c>
      <c r="B275" s="1" t="s">
        <v>545</v>
      </c>
      <c r="C275" s="4"/>
      <c r="D275" s="4"/>
      <c r="E275" s="4"/>
    </row>
    <row r="276" spans="1:5" ht="33.75">
      <c r="A276" s="1" t="s">
        <v>546</v>
      </c>
      <c r="B276" s="1" t="s">
        <v>547</v>
      </c>
      <c r="C276" s="4"/>
      <c r="D276" s="4"/>
      <c r="E276" s="4"/>
    </row>
    <row r="277" spans="1:5" ht="33.75">
      <c r="A277" s="1" t="s">
        <v>548</v>
      </c>
      <c r="B277" s="1" t="s">
        <v>549</v>
      </c>
      <c r="C277" s="4"/>
      <c r="D277" s="4"/>
      <c r="E277" s="4"/>
    </row>
    <row r="278" spans="1:5" ht="33.75">
      <c r="A278" s="1" t="s">
        <v>550</v>
      </c>
      <c r="B278" s="1" t="s">
        <v>551</v>
      </c>
      <c r="C278" s="4"/>
      <c r="D278" s="4"/>
      <c r="E278" s="4"/>
    </row>
    <row r="279" spans="1:5" ht="33.75">
      <c r="A279" s="1" t="s">
        <v>552</v>
      </c>
      <c r="B279" s="1" t="s">
        <v>553</v>
      </c>
      <c r="C279" s="4"/>
      <c r="D279" s="4"/>
      <c r="E279" s="4"/>
    </row>
    <row r="280" spans="1:5" ht="33.75">
      <c r="A280" s="1" t="s">
        <v>554</v>
      </c>
      <c r="B280" s="1" t="s">
        <v>555</v>
      </c>
      <c r="C280" s="4"/>
      <c r="D280" s="4"/>
      <c r="E280" s="4"/>
    </row>
    <row r="281" spans="1:5" ht="33.75">
      <c r="A281" s="1" t="s">
        <v>556</v>
      </c>
      <c r="B281" s="1" t="s">
        <v>557</v>
      </c>
      <c r="C281" s="4"/>
      <c r="D281" s="4"/>
      <c r="E281" s="4"/>
    </row>
    <row r="282" spans="1:5" ht="33.75">
      <c r="A282" s="1" t="s">
        <v>558</v>
      </c>
      <c r="B282" s="1" t="s">
        <v>559</v>
      </c>
      <c r="C282" s="4"/>
      <c r="D282" s="4"/>
      <c r="E282" s="4"/>
    </row>
    <row r="283" spans="1:5" ht="33.75">
      <c r="A283" s="1" t="s">
        <v>560</v>
      </c>
      <c r="B283" s="1" t="s">
        <v>561</v>
      </c>
      <c r="C283" s="4"/>
      <c r="D283" s="4"/>
      <c r="E283" s="4"/>
    </row>
    <row r="284" spans="1:5" ht="33.75">
      <c r="A284" s="1" t="s">
        <v>562</v>
      </c>
      <c r="B284" s="1" t="s">
        <v>563</v>
      </c>
      <c r="C284" s="4"/>
      <c r="D284" s="4"/>
      <c r="E284" s="4"/>
    </row>
    <row r="285" spans="1:5" ht="33.75">
      <c r="A285" s="1" t="s">
        <v>564</v>
      </c>
      <c r="B285" s="1" t="s">
        <v>565</v>
      </c>
      <c r="C285" s="4"/>
      <c r="D285" s="4"/>
      <c r="E285" s="4"/>
    </row>
    <row r="286" spans="1:5" ht="33.75">
      <c r="A286" s="1" t="s">
        <v>566</v>
      </c>
      <c r="B286" s="1" t="s">
        <v>567</v>
      </c>
      <c r="C286" s="4">
        <v>915</v>
      </c>
      <c r="D286" s="4" t="s">
        <v>1331</v>
      </c>
      <c r="E286" s="4">
        <v>3</v>
      </c>
    </row>
    <row r="287" spans="1:5" ht="33.75">
      <c r="A287" s="1" t="s">
        <v>568</v>
      </c>
      <c r="B287" s="1" t="s">
        <v>569</v>
      </c>
      <c r="C287" s="4">
        <v>915</v>
      </c>
      <c r="D287" s="4" t="s">
        <v>1331</v>
      </c>
      <c r="E287" s="4">
        <v>3</v>
      </c>
    </row>
    <row r="288" spans="1:5" ht="33.75">
      <c r="A288" s="1" t="s">
        <v>570</v>
      </c>
      <c r="B288" s="1" t="s">
        <v>571</v>
      </c>
      <c r="C288" s="4">
        <v>45</v>
      </c>
      <c r="D288" s="4" t="s">
        <v>1331</v>
      </c>
      <c r="E288" s="4">
        <v>3</v>
      </c>
    </row>
    <row r="289" spans="1:5" ht="33.75">
      <c r="A289" s="1" t="s">
        <v>572</v>
      </c>
      <c r="B289" s="1" t="s">
        <v>573</v>
      </c>
      <c r="C289" s="4">
        <v>276</v>
      </c>
      <c r="D289" s="4" t="s">
        <v>1331</v>
      </c>
      <c r="E289" s="4">
        <v>3</v>
      </c>
    </row>
    <row r="290" spans="1:5" ht="33.75">
      <c r="A290" s="1" t="s">
        <v>574</v>
      </c>
      <c r="B290" s="1" t="s">
        <v>575</v>
      </c>
      <c r="C290" s="4"/>
      <c r="D290" s="4"/>
      <c r="E290" s="4"/>
    </row>
    <row r="291" spans="1:5" ht="33.75">
      <c r="A291" s="1" t="s">
        <v>576</v>
      </c>
      <c r="B291" s="1" t="s">
        <v>577</v>
      </c>
      <c r="C291" s="4"/>
      <c r="D291" s="4"/>
      <c r="E291" s="4"/>
    </row>
    <row r="292" spans="1:5" ht="33.75">
      <c r="A292" s="1" t="s">
        <v>578</v>
      </c>
      <c r="B292" s="1" t="s">
        <v>579</v>
      </c>
      <c r="C292" s="4"/>
      <c r="D292" s="4"/>
      <c r="E292" s="4"/>
    </row>
    <row r="293" spans="1:5" ht="33.75">
      <c r="A293" s="1" t="s">
        <v>580</v>
      </c>
      <c r="B293" s="1" t="s">
        <v>581</v>
      </c>
      <c r="C293" s="4"/>
      <c r="D293" s="4"/>
      <c r="E293" s="4"/>
    </row>
    <row r="294" spans="1:5" ht="33.75">
      <c r="A294" s="1" t="s">
        <v>582</v>
      </c>
      <c r="B294" s="1" t="s">
        <v>583</v>
      </c>
      <c r="C294" s="4"/>
      <c r="D294" s="4"/>
      <c r="E294" s="4"/>
    </row>
    <row r="295" spans="1:5" ht="33.75">
      <c r="A295" s="1" t="s">
        <v>584</v>
      </c>
      <c r="B295" s="1" t="s">
        <v>585</v>
      </c>
      <c r="C295" s="4"/>
      <c r="D295" s="4"/>
      <c r="E295" s="4"/>
    </row>
    <row r="296" spans="1:5" ht="33.75">
      <c r="A296" s="1" t="s">
        <v>586</v>
      </c>
      <c r="B296" s="1" t="s">
        <v>587</v>
      </c>
      <c r="C296" s="4"/>
      <c r="D296" s="4"/>
      <c r="E296" s="4"/>
    </row>
    <row r="297" spans="1:5" ht="33.75">
      <c r="A297" s="1" t="s">
        <v>588</v>
      </c>
      <c r="B297" s="1" t="s">
        <v>589</v>
      </c>
      <c r="C297" s="4"/>
      <c r="D297" s="4"/>
      <c r="E297" s="4"/>
    </row>
    <row r="298" spans="1:5" ht="33.75">
      <c r="A298" s="1" t="s">
        <v>590</v>
      </c>
      <c r="B298" s="1" t="s">
        <v>591</v>
      </c>
      <c r="C298" s="4"/>
      <c r="D298" s="4"/>
      <c r="E298" s="4"/>
    </row>
    <row r="299" spans="1:5" ht="33.75">
      <c r="A299" s="1" t="s">
        <v>592</v>
      </c>
      <c r="B299" s="1" t="s">
        <v>593</v>
      </c>
      <c r="C299" s="4"/>
      <c r="D299" s="4"/>
      <c r="E299" s="4"/>
    </row>
    <row r="300" spans="1:5" ht="33.75">
      <c r="A300" s="1" t="s">
        <v>594</v>
      </c>
      <c r="B300" s="1" t="s">
        <v>595</v>
      </c>
      <c r="C300" s="4"/>
      <c r="D300" s="4"/>
      <c r="E300" s="4"/>
    </row>
    <row r="301" spans="1:5" ht="33.75">
      <c r="A301" s="1" t="s">
        <v>596</v>
      </c>
      <c r="B301" s="1" t="s">
        <v>597</v>
      </c>
      <c r="C301" s="4"/>
      <c r="D301" s="4"/>
      <c r="E301" s="4"/>
    </row>
    <row r="302" spans="1:5" ht="33.75">
      <c r="A302" s="1" t="s">
        <v>598</v>
      </c>
      <c r="B302" s="1" t="s">
        <v>599</v>
      </c>
      <c r="C302" s="4"/>
      <c r="D302" s="4"/>
      <c r="E302" s="4"/>
    </row>
    <row r="303" spans="1:5" ht="33.75">
      <c r="A303" s="1" t="s">
        <v>600</v>
      </c>
      <c r="B303" s="1" t="s">
        <v>601</v>
      </c>
      <c r="C303" s="4"/>
      <c r="D303" s="4"/>
      <c r="E303" s="4"/>
    </row>
    <row r="304" spans="1:5" ht="33.75">
      <c r="A304" s="1" t="s">
        <v>602</v>
      </c>
      <c r="B304" s="1" t="s">
        <v>603</v>
      </c>
      <c r="C304" s="4"/>
      <c r="D304" s="4"/>
      <c r="E304" s="4"/>
    </row>
    <row r="305" spans="1:5" ht="33.75">
      <c r="A305" s="1" t="s">
        <v>604</v>
      </c>
      <c r="B305" s="1" t="s">
        <v>605</v>
      </c>
      <c r="C305" s="4"/>
      <c r="D305" s="4"/>
      <c r="E305" s="4"/>
    </row>
    <row r="306" spans="1:5" ht="33.75">
      <c r="A306" s="1" t="s">
        <v>606</v>
      </c>
      <c r="B306" s="1" t="s">
        <v>607</v>
      </c>
      <c r="C306" s="4"/>
      <c r="D306" s="4"/>
      <c r="E306" s="4"/>
    </row>
    <row r="307" spans="1:5" ht="33.75">
      <c r="A307" s="1" t="s">
        <v>608</v>
      </c>
      <c r="B307" s="1" t="s">
        <v>609</v>
      </c>
      <c r="C307" s="4"/>
      <c r="D307" s="4"/>
      <c r="E307" s="4"/>
    </row>
    <row r="308" spans="1:5" ht="33.75">
      <c r="A308" s="1" t="s">
        <v>610</v>
      </c>
      <c r="B308" s="1" t="s">
        <v>611</v>
      </c>
      <c r="C308" s="4"/>
      <c r="D308" s="4"/>
      <c r="E308" s="4"/>
    </row>
    <row r="309" spans="1:5" ht="33.75">
      <c r="A309" s="1" t="s">
        <v>612</v>
      </c>
      <c r="B309" s="1" t="s">
        <v>613</v>
      </c>
      <c r="C309" s="4"/>
      <c r="D309" s="4"/>
      <c r="E309" s="4"/>
    </row>
    <row r="310" spans="1:5" ht="33.75">
      <c r="A310" s="1" t="s">
        <v>614</v>
      </c>
      <c r="B310" s="1" t="s">
        <v>615</v>
      </c>
      <c r="C310" s="4"/>
      <c r="D310" s="4"/>
      <c r="E310" s="4"/>
    </row>
    <row r="311" spans="1:5" ht="33.75">
      <c r="A311" s="1" t="s">
        <v>616</v>
      </c>
      <c r="B311" s="1" t="s">
        <v>617</v>
      </c>
      <c r="C311" s="4"/>
      <c r="D311" s="4"/>
      <c r="E311" s="4"/>
    </row>
    <row r="312" spans="1:5" ht="33.75">
      <c r="A312" s="1" t="s">
        <v>618</v>
      </c>
      <c r="B312" s="1" t="s">
        <v>619</v>
      </c>
      <c r="C312" s="4"/>
      <c r="D312" s="4"/>
      <c r="E312" s="4"/>
    </row>
    <row r="313" spans="1:5" ht="33.75">
      <c r="A313" s="1" t="s">
        <v>620</v>
      </c>
      <c r="B313" s="1" t="s">
        <v>621</v>
      </c>
      <c r="C313" s="4"/>
      <c r="D313" s="4"/>
      <c r="E313" s="4"/>
    </row>
    <row r="314" spans="1:5" ht="33.75">
      <c r="A314" s="1" t="s">
        <v>622</v>
      </c>
      <c r="B314" s="1" t="s">
        <v>623</v>
      </c>
      <c r="C314" s="4"/>
      <c r="D314" s="4"/>
      <c r="E314" s="4"/>
    </row>
    <row r="315" spans="1:5" ht="33.75">
      <c r="A315" s="1" t="e">
        <v>#N/A</v>
      </c>
      <c r="B315" s="1" t="s">
        <v>624</v>
      </c>
      <c r="C315" s="4"/>
      <c r="D315" s="4"/>
      <c r="E315" s="4"/>
    </row>
    <row r="316" spans="1:5" ht="33.75">
      <c r="A316" s="1" t="s">
        <v>625</v>
      </c>
      <c r="B316" s="1" t="s">
        <v>626</v>
      </c>
      <c r="C316" s="4"/>
      <c r="D316" s="4"/>
      <c r="E316" s="4"/>
    </row>
    <row r="317" spans="1:5" ht="33.75">
      <c r="A317" s="1" t="s">
        <v>627</v>
      </c>
      <c r="B317" s="1" t="s">
        <v>628</v>
      </c>
      <c r="C317" s="4"/>
      <c r="D317" s="4"/>
      <c r="E317" s="4"/>
    </row>
    <row r="318" spans="1:5" ht="33.75">
      <c r="A318" s="1" t="s">
        <v>629</v>
      </c>
      <c r="B318" s="1" t="s">
        <v>630</v>
      </c>
      <c r="C318" s="4"/>
      <c r="D318" s="4"/>
      <c r="E318" s="4"/>
    </row>
    <row r="319" spans="1:5" ht="33.75">
      <c r="A319" s="1" t="s">
        <v>631</v>
      </c>
      <c r="B319" s="1" t="s">
        <v>632</v>
      </c>
      <c r="C319" s="4"/>
      <c r="D319" s="4"/>
      <c r="E319" s="4"/>
    </row>
    <row r="320" spans="1:5" ht="33.75">
      <c r="A320" s="1" t="s">
        <v>633</v>
      </c>
      <c r="B320" s="1" t="s">
        <v>634</v>
      </c>
      <c r="C320" s="4"/>
      <c r="D320" s="4"/>
      <c r="E320" s="4"/>
    </row>
    <row r="321" spans="1:5" ht="33.75">
      <c r="A321" s="1" t="s">
        <v>635</v>
      </c>
      <c r="B321" s="1" t="s">
        <v>636</v>
      </c>
      <c r="C321" s="4"/>
      <c r="D321" s="4"/>
      <c r="E321" s="4"/>
    </row>
    <row r="322" spans="1:5" ht="33.75">
      <c r="A322" s="1" t="s">
        <v>637</v>
      </c>
      <c r="B322" s="1" t="s">
        <v>638</v>
      </c>
      <c r="C322" s="4"/>
      <c r="D322" s="4"/>
      <c r="E322" s="4"/>
    </row>
    <row r="323" spans="1:5" ht="33.75">
      <c r="A323" s="1" t="s">
        <v>639</v>
      </c>
      <c r="B323" s="1" t="s">
        <v>640</v>
      </c>
      <c r="C323" s="4"/>
      <c r="D323" s="4"/>
      <c r="E323" s="4"/>
    </row>
    <row r="324" spans="1:5" ht="33.75">
      <c r="A324" s="1" t="s">
        <v>641</v>
      </c>
      <c r="B324" s="1" t="s">
        <v>642</v>
      </c>
      <c r="C324" s="4"/>
      <c r="D324" s="4"/>
      <c r="E324" s="4"/>
    </row>
    <row r="325" spans="1:5" ht="33.75">
      <c r="A325" s="1" t="s">
        <v>643</v>
      </c>
      <c r="B325" s="1" t="s">
        <v>644</v>
      </c>
      <c r="C325" s="4"/>
      <c r="D325" s="4"/>
      <c r="E325" s="4"/>
    </row>
    <row r="326" spans="1:5" ht="33.75">
      <c r="A326" s="1" t="s">
        <v>645</v>
      </c>
      <c r="B326" s="1" t="s">
        <v>646</v>
      </c>
      <c r="C326" s="4"/>
      <c r="D326" s="4"/>
      <c r="E326" s="4"/>
    </row>
    <row r="327" spans="1:5" ht="33.75">
      <c r="A327" s="1" t="s">
        <v>647</v>
      </c>
      <c r="B327" s="1" t="s">
        <v>648</v>
      </c>
      <c r="C327" s="4"/>
      <c r="D327" s="4"/>
      <c r="E327" s="4"/>
    </row>
    <row r="328" spans="1:5" ht="33.75">
      <c r="A328" s="1" t="s">
        <v>649</v>
      </c>
      <c r="B328" s="1" t="s">
        <v>650</v>
      </c>
      <c r="C328" s="4"/>
      <c r="D328" s="4"/>
      <c r="E328" s="4"/>
    </row>
    <row r="329" spans="1:5" ht="33.75">
      <c r="A329" s="1" t="s">
        <v>651</v>
      </c>
      <c r="B329" s="1" t="s">
        <v>652</v>
      </c>
      <c r="C329" s="4"/>
      <c r="D329" s="4"/>
      <c r="E329" s="4"/>
    </row>
    <row r="330" spans="1:5" ht="33.75">
      <c r="A330" s="1" t="s">
        <v>653</v>
      </c>
      <c r="B330" s="1" t="s">
        <v>654</v>
      </c>
      <c r="C330" s="4"/>
      <c r="D330" s="4"/>
      <c r="E330" s="4"/>
    </row>
    <row r="331" spans="1:5" ht="33.75">
      <c r="A331" s="1" t="s">
        <v>655</v>
      </c>
      <c r="B331" s="1" t="s">
        <v>656</v>
      </c>
      <c r="C331" s="4"/>
      <c r="D331" s="4"/>
      <c r="E331" s="4"/>
    </row>
    <row r="332" spans="1:5" ht="33.75">
      <c r="A332" s="1" t="s">
        <v>657</v>
      </c>
      <c r="B332" s="1" t="s">
        <v>658</v>
      </c>
      <c r="C332" s="4">
        <v>67</v>
      </c>
      <c r="D332" s="4" t="s">
        <v>1337</v>
      </c>
      <c r="E332" s="4">
        <v>4</v>
      </c>
    </row>
    <row r="333" spans="1:5" ht="33.75">
      <c r="A333" s="1" t="s">
        <v>659</v>
      </c>
      <c r="B333" s="1" t="s">
        <v>660</v>
      </c>
      <c r="C333" s="4">
        <v>33</v>
      </c>
      <c r="D333" s="4" t="s">
        <v>1337</v>
      </c>
      <c r="E333" s="4">
        <v>4</v>
      </c>
    </row>
    <row r="334" spans="1:5" ht="33.75">
      <c r="A334" s="1" t="s">
        <v>661</v>
      </c>
      <c r="B334" s="1" t="s">
        <v>662</v>
      </c>
      <c r="C334" s="4">
        <v>23</v>
      </c>
      <c r="D334" s="4" t="s">
        <v>1337</v>
      </c>
      <c r="E334" s="4">
        <v>4</v>
      </c>
    </row>
    <row r="335" spans="1:5" ht="33.75">
      <c r="A335" s="1" t="s">
        <v>663</v>
      </c>
      <c r="B335" s="1" t="s">
        <v>664</v>
      </c>
      <c r="C335" s="4"/>
      <c r="D335" s="4"/>
      <c r="E335" s="4"/>
    </row>
    <row r="336" spans="1:5" ht="33.75">
      <c r="A336" s="1" t="s">
        <v>665</v>
      </c>
      <c r="B336" s="1" t="s">
        <v>666</v>
      </c>
      <c r="C336" s="4"/>
      <c r="D336" s="4"/>
      <c r="E336" s="4"/>
    </row>
    <row r="337" spans="1:5" ht="33.75">
      <c r="A337" s="1" t="s">
        <v>667</v>
      </c>
      <c r="B337" s="1" t="s">
        <v>668</v>
      </c>
      <c r="C337" s="4">
        <v>39</v>
      </c>
      <c r="D337" s="4" t="s">
        <v>1337</v>
      </c>
      <c r="E337" s="4">
        <v>4</v>
      </c>
    </row>
    <row r="338" spans="1:5" ht="33.75">
      <c r="A338" s="1" t="s">
        <v>669</v>
      </c>
      <c r="B338" s="1" t="s">
        <v>670</v>
      </c>
      <c r="C338" s="4"/>
      <c r="D338" s="4"/>
      <c r="E338" s="4"/>
    </row>
    <row r="339" spans="1:5" ht="33.75">
      <c r="A339" s="1" t="s">
        <v>671</v>
      </c>
      <c r="B339" s="1" t="s">
        <v>672</v>
      </c>
      <c r="C339" s="4"/>
      <c r="D339" s="4"/>
      <c r="E339" s="4"/>
    </row>
    <row r="340" spans="1:5" ht="33.75">
      <c r="A340" s="1" t="s">
        <v>673</v>
      </c>
      <c r="B340" s="1" t="s">
        <v>674</v>
      </c>
      <c r="C340" s="4"/>
      <c r="D340" s="4"/>
      <c r="E340" s="4"/>
    </row>
    <row r="341" spans="1:5" ht="33.75">
      <c r="A341" s="1" t="s">
        <v>675</v>
      </c>
      <c r="B341" s="1" t="s">
        <v>676</v>
      </c>
      <c r="C341" s="4"/>
      <c r="D341" s="4"/>
      <c r="E341" s="4"/>
    </row>
    <row r="342" spans="1:5" ht="33.75">
      <c r="A342" s="1" t="s">
        <v>677</v>
      </c>
      <c r="B342" s="1" t="s">
        <v>678</v>
      </c>
      <c r="C342" s="4"/>
      <c r="D342" s="4"/>
      <c r="E342" s="4"/>
    </row>
    <row r="343" spans="1:5" ht="33.75">
      <c r="A343" s="1" t="s">
        <v>679</v>
      </c>
      <c r="B343" s="1" t="s">
        <v>680</v>
      </c>
      <c r="C343" s="4">
        <v>10</v>
      </c>
      <c r="D343" s="4" t="s">
        <v>1337</v>
      </c>
      <c r="E343" s="4">
        <v>2</v>
      </c>
    </row>
    <row r="344" spans="1:5" ht="33.75">
      <c r="A344" s="1" t="s">
        <v>681</v>
      </c>
      <c r="B344" s="1" t="s">
        <v>682</v>
      </c>
      <c r="C344" s="4">
        <v>34</v>
      </c>
      <c r="D344" s="4" t="s">
        <v>1337</v>
      </c>
      <c r="E344" s="4">
        <v>2</v>
      </c>
    </row>
    <row r="345" spans="1:5" ht="33.75">
      <c r="A345" s="1" t="s">
        <v>683</v>
      </c>
      <c r="B345" s="1" t="s">
        <v>684</v>
      </c>
      <c r="C345" s="4">
        <v>39</v>
      </c>
      <c r="D345" s="4" t="s">
        <v>1337</v>
      </c>
      <c r="E345" s="4">
        <v>2</v>
      </c>
    </row>
    <row r="346" spans="1:5" ht="33.75">
      <c r="A346" s="1" t="s">
        <v>685</v>
      </c>
      <c r="B346" s="1" t="s">
        <v>686</v>
      </c>
      <c r="C346" s="4">
        <v>34</v>
      </c>
      <c r="D346" s="4" t="s">
        <v>1337</v>
      </c>
      <c r="E346" s="4">
        <v>2</v>
      </c>
    </row>
    <row r="347" spans="1:5" ht="33.75">
      <c r="A347" s="1" t="s">
        <v>687</v>
      </c>
      <c r="B347" s="1" t="s">
        <v>688</v>
      </c>
      <c r="C347" s="4"/>
      <c r="D347" s="4"/>
      <c r="E347" s="4"/>
    </row>
    <row r="348" spans="1:5" ht="33.75">
      <c r="A348" s="1" t="s">
        <v>689</v>
      </c>
      <c r="B348" s="1" t="s">
        <v>690</v>
      </c>
      <c r="C348" s="4">
        <v>7</v>
      </c>
      <c r="D348" s="4" t="s">
        <v>1337</v>
      </c>
      <c r="E348" s="4">
        <v>2</v>
      </c>
    </row>
    <row r="349" spans="1:5" ht="33.75">
      <c r="A349" s="1" t="s">
        <v>691</v>
      </c>
      <c r="B349" s="1" t="s">
        <v>692</v>
      </c>
      <c r="C349" s="4">
        <v>6</v>
      </c>
      <c r="D349" s="4" t="s">
        <v>1337</v>
      </c>
      <c r="E349" s="4">
        <v>2</v>
      </c>
    </row>
    <row r="350" spans="1:5" ht="33.75">
      <c r="A350" s="1" t="s">
        <v>693</v>
      </c>
      <c r="B350" s="1" t="s">
        <v>694</v>
      </c>
      <c r="C350" s="4"/>
      <c r="D350" s="4"/>
      <c r="E350" s="4"/>
    </row>
    <row r="351" spans="1:5" ht="33.75">
      <c r="A351" s="1" t="s">
        <v>695</v>
      </c>
      <c r="B351" s="1" t="s">
        <v>696</v>
      </c>
      <c r="C351" s="4">
        <f>14+88+144</f>
        <v>246</v>
      </c>
      <c r="D351" s="4" t="s">
        <v>1331</v>
      </c>
      <c r="E351" s="4">
        <v>4</v>
      </c>
    </row>
    <row r="352" spans="1:5" ht="33.75">
      <c r="A352" s="1" t="s">
        <v>697</v>
      </c>
      <c r="B352" s="1" t="s">
        <v>698</v>
      </c>
      <c r="C352" s="4">
        <f>166+610</f>
        <v>776</v>
      </c>
      <c r="D352" s="4" t="s">
        <v>1331</v>
      </c>
      <c r="E352" s="4">
        <v>4</v>
      </c>
    </row>
    <row r="353" spans="1:9" ht="33.75">
      <c r="A353" s="1" t="s">
        <v>699</v>
      </c>
      <c r="B353" s="1" t="s">
        <v>700</v>
      </c>
      <c r="C353" s="4">
        <v>248</v>
      </c>
      <c r="D353" s="4" t="s">
        <v>1331</v>
      </c>
      <c r="E353" s="4">
        <v>4</v>
      </c>
    </row>
    <row r="354" spans="1:9" ht="33.75">
      <c r="A354" s="1" t="s">
        <v>701</v>
      </c>
      <c r="B354" s="1" t="s">
        <v>702</v>
      </c>
      <c r="C354" s="4">
        <v>3</v>
      </c>
      <c r="D354" s="4" t="s">
        <v>7</v>
      </c>
      <c r="E354" s="4">
        <v>2</v>
      </c>
    </row>
    <row r="355" spans="1:9" ht="33.75">
      <c r="A355" s="1" t="s">
        <v>703</v>
      </c>
      <c r="B355" s="1" t="s">
        <v>704</v>
      </c>
      <c r="C355" s="4">
        <v>19</v>
      </c>
      <c r="D355" s="4" t="s">
        <v>7</v>
      </c>
      <c r="E355" s="4">
        <v>2</v>
      </c>
      <c r="H355" s="8"/>
      <c r="I355" s="8"/>
    </row>
    <row r="356" spans="1:9" ht="33.75">
      <c r="A356" s="1" t="s">
        <v>705</v>
      </c>
      <c r="B356" s="1" t="s">
        <v>706</v>
      </c>
      <c r="C356" s="4"/>
      <c r="D356" s="4"/>
      <c r="E356" s="4"/>
      <c r="H356" s="8"/>
    </row>
    <row r="357" spans="1:9" ht="33.75">
      <c r="A357" s="1" t="s">
        <v>707</v>
      </c>
      <c r="B357" s="1" t="s">
        <v>708</v>
      </c>
      <c r="C357" s="4"/>
      <c r="D357" s="4"/>
      <c r="E357" s="4"/>
      <c r="H357" s="8"/>
    </row>
    <row r="358" spans="1:9" ht="33.75">
      <c r="A358" s="1" t="s">
        <v>709</v>
      </c>
      <c r="B358" s="1" t="s">
        <v>710</v>
      </c>
      <c r="C358" s="4"/>
      <c r="D358" s="4"/>
      <c r="E358" s="4"/>
      <c r="H358" s="8"/>
    </row>
    <row r="359" spans="1:9" ht="33.75">
      <c r="A359" s="1" t="s">
        <v>711</v>
      </c>
      <c r="B359" s="1" t="s">
        <v>712</v>
      </c>
      <c r="C359" s="4"/>
      <c r="D359" s="4"/>
      <c r="E359" s="4"/>
      <c r="H359" s="8"/>
    </row>
    <row r="360" spans="1:9" ht="33.75">
      <c r="A360" s="1" t="e">
        <v>#N/A</v>
      </c>
      <c r="B360" s="1" t="s">
        <v>713</v>
      </c>
      <c r="C360" s="4"/>
      <c r="D360" s="4"/>
      <c r="E360" s="4"/>
    </row>
    <row r="361" spans="1:9" ht="33.75">
      <c r="A361" s="1" t="s">
        <v>714</v>
      </c>
      <c r="B361" s="1" t="s">
        <v>715</v>
      </c>
      <c r="C361" s="4"/>
      <c r="D361" s="4"/>
      <c r="E361" s="4"/>
    </row>
    <row r="362" spans="1:9" ht="33.75">
      <c r="A362" s="1" t="e">
        <v>#N/A</v>
      </c>
      <c r="B362" s="1" t="s">
        <v>716</v>
      </c>
      <c r="C362" s="4"/>
      <c r="D362" s="4"/>
      <c r="E362" s="4"/>
    </row>
    <row r="363" spans="1:9" ht="33.75">
      <c r="A363" s="1" t="e">
        <v>#N/A</v>
      </c>
      <c r="B363" s="1" t="s">
        <v>717</v>
      </c>
      <c r="C363" s="4"/>
      <c r="D363" s="4"/>
      <c r="E363" s="4"/>
    </row>
    <row r="364" spans="1:9" ht="33.75">
      <c r="A364" s="1" t="e">
        <v>#N/A</v>
      </c>
      <c r="B364" s="1" t="s">
        <v>718</v>
      </c>
      <c r="C364" s="4"/>
      <c r="D364" s="4"/>
      <c r="E364" s="4"/>
    </row>
    <row r="365" spans="1:9" ht="33.75">
      <c r="A365" s="1" t="s">
        <v>719</v>
      </c>
      <c r="B365" s="1" t="s">
        <v>720</v>
      </c>
      <c r="C365" s="4"/>
      <c r="D365" s="4"/>
      <c r="E365" s="4"/>
    </row>
    <row r="366" spans="1:9" ht="33.75">
      <c r="A366" s="1" t="s">
        <v>721</v>
      </c>
      <c r="B366" s="1" t="s">
        <v>722</v>
      </c>
      <c r="C366" s="4"/>
      <c r="D366" s="4"/>
      <c r="E366" s="4"/>
    </row>
    <row r="367" spans="1:9" ht="33.75">
      <c r="A367" s="1" t="s">
        <v>723</v>
      </c>
      <c r="B367" s="1" t="s">
        <v>724</v>
      </c>
      <c r="C367" s="4"/>
      <c r="D367" s="4"/>
      <c r="E367" s="4"/>
    </row>
    <row r="368" spans="1:9" ht="33.75">
      <c r="A368" s="1" t="s">
        <v>725</v>
      </c>
      <c r="B368" s="1" t="s">
        <v>726</v>
      </c>
      <c r="C368" s="4">
        <v>234</v>
      </c>
      <c r="D368" s="4" t="s">
        <v>1331</v>
      </c>
      <c r="E368" s="4">
        <v>4</v>
      </c>
    </row>
    <row r="369" spans="1:6" ht="33.75">
      <c r="A369" s="1" t="s">
        <v>727</v>
      </c>
      <c r="B369" s="1" t="s">
        <v>728</v>
      </c>
      <c r="C369" s="4">
        <f>86+196</f>
        <v>282</v>
      </c>
      <c r="D369" s="4" t="s">
        <v>1331</v>
      </c>
      <c r="E369" s="4">
        <v>4</v>
      </c>
      <c r="F369" s="6" t="s">
        <v>1332</v>
      </c>
    </row>
    <row r="370" spans="1:6" ht="33.75">
      <c r="A370" s="1" t="s">
        <v>729</v>
      </c>
      <c r="B370" s="1" t="s">
        <v>730</v>
      </c>
      <c r="C370" s="4">
        <v>16</v>
      </c>
      <c r="D370" s="4" t="s">
        <v>1331</v>
      </c>
      <c r="E370" s="4">
        <v>5</v>
      </c>
    </row>
    <row r="371" spans="1:6" ht="33.75">
      <c r="A371" s="1" t="s">
        <v>731</v>
      </c>
      <c r="B371" s="1" t="s">
        <v>732</v>
      </c>
      <c r="C371" s="4"/>
      <c r="D371" s="4"/>
      <c r="E371" s="4"/>
    </row>
    <row r="372" spans="1:6" ht="33.75">
      <c r="A372" s="1" t="s">
        <v>733</v>
      </c>
      <c r="B372" s="1" t="s">
        <v>734</v>
      </c>
      <c r="C372" s="4">
        <v>1</v>
      </c>
      <c r="D372" s="4" t="s">
        <v>1337</v>
      </c>
      <c r="E372" s="4">
        <v>2</v>
      </c>
    </row>
    <row r="373" spans="1:6" ht="33.75">
      <c r="A373" s="1" t="s">
        <v>735</v>
      </c>
      <c r="B373" s="1" t="s">
        <v>736</v>
      </c>
      <c r="C373" s="4"/>
      <c r="D373" s="4"/>
      <c r="E373" s="4"/>
    </row>
    <row r="374" spans="1:6" ht="33.75">
      <c r="A374" s="1" t="s">
        <v>737</v>
      </c>
      <c r="B374" s="1" t="s">
        <v>738</v>
      </c>
      <c r="C374" s="4">
        <v>10</v>
      </c>
      <c r="D374" s="4" t="s">
        <v>1334</v>
      </c>
      <c r="E374" s="4">
        <v>2</v>
      </c>
    </row>
    <row r="375" spans="1:6" ht="33.75">
      <c r="A375" s="1" t="s">
        <v>739</v>
      </c>
      <c r="B375" s="1" t="s">
        <v>740</v>
      </c>
      <c r="C375" s="4">
        <v>4</v>
      </c>
      <c r="D375" s="4" t="s">
        <v>1334</v>
      </c>
      <c r="E375" s="4">
        <v>2</v>
      </c>
    </row>
    <row r="376" spans="1:6" ht="33.75">
      <c r="A376" s="1" t="s">
        <v>741</v>
      </c>
      <c r="B376" s="1" t="s">
        <v>742</v>
      </c>
      <c r="C376" s="4">
        <v>7</v>
      </c>
      <c r="D376" s="4" t="s">
        <v>1334</v>
      </c>
      <c r="E376" s="4">
        <v>2</v>
      </c>
    </row>
    <row r="377" spans="1:6" ht="33.75">
      <c r="A377" s="1" t="s">
        <v>743</v>
      </c>
      <c r="B377" s="1" t="s">
        <v>744</v>
      </c>
      <c r="C377" s="4">
        <v>7</v>
      </c>
      <c r="D377" s="4" t="s">
        <v>1334</v>
      </c>
      <c r="E377" s="4">
        <v>2</v>
      </c>
    </row>
    <row r="378" spans="1:6" ht="33.75">
      <c r="A378" s="1" t="s">
        <v>745</v>
      </c>
      <c r="B378" s="1" t="s">
        <v>746</v>
      </c>
      <c r="C378" s="4">
        <v>7</v>
      </c>
      <c r="D378" s="4" t="s">
        <v>1334</v>
      </c>
      <c r="E378" s="4">
        <v>2</v>
      </c>
    </row>
    <row r="379" spans="1:6" ht="33.75">
      <c r="A379" s="1" t="s">
        <v>747</v>
      </c>
      <c r="B379" s="1" t="s">
        <v>748</v>
      </c>
      <c r="C379" s="4">
        <v>8</v>
      </c>
      <c r="D379" s="4" t="s">
        <v>1334</v>
      </c>
      <c r="E379" s="4">
        <v>2</v>
      </c>
    </row>
    <row r="380" spans="1:6" ht="33.75">
      <c r="A380" s="1" t="s">
        <v>749</v>
      </c>
      <c r="B380" s="1" t="s">
        <v>750</v>
      </c>
      <c r="C380" s="4">
        <v>1</v>
      </c>
      <c r="D380" s="4" t="s">
        <v>1334</v>
      </c>
      <c r="E380" s="4">
        <v>2</v>
      </c>
    </row>
    <row r="381" spans="1:6" ht="33.75">
      <c r="A381" s="1" t="s">
        <v>751</v>
      </c>
      <c r="B381" s="1" t="s">
        <v>752</v>
      </c>
      <c r="C381" s="4">
        <v>18</v>
      </c>
      <c r="D381" s="4" t="s">
        <v>1334</v>
      </c>
      <c r="E381" s="4">
        <v>2</v>
      </c>
    </row>
    <row r="382" spans="1:6" ht="33.75">
      <c r="A382" s="1" t="s">
        <v>753</v>
      </c>
      <c r="B382" s="1" t="s">
        <v>754</v>
      </c>
      <c r="C382" s="4">
        <v>4</v>
      </c>
      <c r="D382" s="4" t="s">
        <v>1334</v>
      </c>
      <c r="E382" s="4">
        <v>2</v>
      </c>
    </row>
    <row r="383" spans="1:6" ht="33.75">
      <c r="A383" s="1" t="s">
        <v>755</v>
      </c>
      <c r="B383" s="1" t="s">
        <v>756</v>
      </c>
      <c r="C383" s="4">
        <v>6</v>
      </c>
      <c r="D383" s="4" t="s">
        <v>1334</v>
      </c>
      <c r="E383" s="4">
        <v>2</v>
      </c>
    </row>
    <row r="384" spans="1:6" ht="33.75">
      <c r="A384" s="1" t="s">
        <v>757</v>
      </c>
      <c r="B384" s="1" t="s">
        <v>758</v>
      </c>
      <c r="C384" s="4">
        <v>1</v>
      </c>
      <c r="D384" s="4" t="s">
        <v>1334</v>
      </c>
      <c r="E384" s="4">
        <v>2</v>
      </c>
    </row>
    <row r="385" spans="1:5" ht="33.75">
      <c r="A385" s="1" t="s">
        <v>759</v>
      </c>
      <c r="B385" s="1" t="s">
        <v>760</v>
      </c>
      <c r="C385" s="4">
        <v>1</v>
      </c>
      <c r="D385" s="4" t="s">
        <v>1334</v>
      </c>
      <c r="E385" s="4">
        <v>2</v>
      </c>
    </row>
    <row r="386" spans="1:5" ht="33.75">
      <c r="A386" s="1" t="s">
        <v>761</v>
      </c>
      <c r="B386" s="1" t="s">
        <v>762</v>
      </c>
      <c r="C386" s="4">
        <v>1</v>
      </c>
      <c r="D386" s="4" t="s">
        <v>1334</v>
      </c>
      <c r="E386" s="4">
        <v>2</v>
      </c>
    </row>
    <row r="387" spans="1:5" ht="33.75">
      <c r="A387" s="1" t="s">
        <v>763</v>
      </c>
      <c r="B387" s="1" t="s">
        <v>764</v>
      </c>
      <c r="C387" s="4">
        <v>4</v>
      </c>
      <c r="D387" s="4" t="s">
        <v>1334</v>
      </c>
      <c r="E387" s="4">
        <v>2</v>
      </c>
    </row>
    <row r="388" spans="1:5" ht="33.75">
      <c r="A388" s="1" t="s">
        <v>765</v>
      </c>
      <c r="B388" s="1" t="s">
        <v>766</v>
      </c>
      <c r="C388" s="4">
        <v>1</v>
      </c>
      <c r="D388" s="4" t="s">
        <v>1334</v>
      </c>
      <c r="E388" s="4">
        <v>2</v>
      </c>
    </row>
    <row r="389" spans="1:5" ht="33.75">
      <c r="A389" s="1" t="s">
        <v>767</v>
      </c>
      <c r="B389" s="1" t="s">
        <v>768</v>
      </c>
      <c r="C389" s="4">
        <v>1</v>
      </c>
      <c r="D389" s="4" t="s">
        <v>1334</v>
      </c>
      <c r="E389" s="4">
        <v>2</v>
      </c>
    </row>
    <row r="390" spans="1:5" ht="33.75">
      <c r="A390" s="1" t="s">
        <v>769</v>
      </c>
      <c r="B390" s="1" t="s">
        <v>770</v>
      </c>
      <c r="C390" s="4">
        <v>2</v>
      </c>
      <c r="D390" s="4" t="s">
        <v>1334</v>
      </c>
      <c r="E390" s="4">
        <v>2</v>
      </c>
    </row>
    <row r="391" spans="1:5" ht="33.75">
      <c r="A391" s="1" t="s">
        <v>771</v>
      </c>
      <c r="B391" s="1" t="s">
        <v>772</v>
      </c>
      <c r="C391" s="4">
        <v>2</v>
      </c>
      <c r="D391" s="4" t="s">
        <v>1334</v>
      </c>
      <c r="E391" s="4">
        <v>2</v>
      </c>
    </row>
    <row r="392" spans="1:5" ht="33.75">
      <c r="A392" s="1" t="s">
        <v>773</v>
      </c>
      <c r="B392" s="1" t="s">
        <v>774</v>
      </c>
      <c r="C392" s="4">
        <v>1</v>
      </c>
      <c r="D392" s="4" t="s">
        <v>1334</v>
      </c>
      <c r="E392" s="4">
        <v>2</v>
      </c>
    </row>
    <row r="393" spans="1:5" ht="33.75">
      <c r="A393" s="1">
        <v>9388</v>
      </c>
      <c r="B393" s="1" t="s">
        <v>775</v>
      </c>
      <c r="C393" s="4"/>
      <c r="D393" s="4"/>
      <c r="E393" s="4"/>
    </row>
    <row r="394" spans="1:5" ht="33.75">
      <c r="A394" s="1" t="s">
        <v>776</v>
      </c>
      <c r="B394" s="1" t="s">
        <v>777</v>
      </c>
      <c r="C394" s="4">
        <v>34</v>
      </c>
      <c r="D394" s="4" t="s">
        <v>1334</v>
      </c>
      <c r="E394" s="4">
        <v>2</v>
      </c>
    </row>
    <row r="395" spans="1:5" ht="33.75">
      <c r="A395" s="1" t="s">
        <v>778</v>
      </c>
      <c r="B395" s="1" t="s">
        <v>779</v>
      </c>
      <c r="C395" s="4">
        <v>19</v>
      </c>
      <c r="D395" s="4" t="s">
        <v>1334</v>
      </c>
      <c r="E395" s="4">
        <v>2</v>
      </c>
    </row>
    <row r="396" spans="1:5" ht="33.75">
      <c r="A396" s="1" t="s">
        <v>780</v>
      </c>
      <c r="B396" s="1" t="s">
        <v>781</v>
      </c>
      <c r="C396" s="4">
        <v>2</v>
      </c>
      <c r="D396" s="4" t="s">
        <v>1334</v>
      </c>
      <c r="E396" s="4">
        <v>2</v>
      </c>
    </row>
    <row r="397" spans="1:5" ht="33.75">
      <c r="A397" s="1" t="s">
        <v>782</v>
      </c>
      <c r="B397" s="1" t="s">
        <v>783</v>
      </c>
      <c r="C397" s="4">
        <v>2</v>
      </c>
      <c r="D397" s="4" t="s">
        <v>1334</v>
      </c>
      <c r="E397" s="4">
        <v>2</v>
      </c>
    </row>
    <row r="398" spans="1:5" ht="33.75">
      <c r="A398" s="1" t="s">
        <v>784</v>
      </c>
      <c r="B398" s="1" t="s">
        <v>785</v>
      </c>
      <c r="C398" s="4">
        <v>1</v>
      </c>
      <c r="D398" s="4" t="s">
        <v>1334</v>
      </c>
      <c r="E398" s="4">
        <v>2</v>
      </c>
    </row>
    <row r="399" spans="1:5" ht="33.75">
      <c r="A399" s="1" t="s">
        <v>786</v>
      </c>
      <c r="B399" s="1" t="s">
        <v>787</v>
      </c>
      <c r="C399" s="4">
        <v>1</v>
      </c>
      <c r="D399" s="4" t="s">
        <v>1334</v>
      </c>
      <c r="E399" s="4">
        <v>2</v>
      </c>
    </row>
    <row r="400" spans="1:5" ht="33.75">
      <c r="A400" s="1" t="s">
        <v>788</v>
      </c>
      <c r="B400" s="1" t="s">
        <v>789</v>
      </c>
      <c r="C400" s="4">
        <v>1</v>
      </c>
      <c r="D400" s="4" t="s">
        <v>1334</v>
      </c>
      <c r="E400" s="4">
        <v>2</v>
      </c>
    </row>
    <row r="401" spans="1:5" ht="33.75">
      <c r="A401" s="1" t="s">
        <v>790</v>
      </c>
      <c r="B401" s="1" t="s">
        <v>791</v>
      </c>
      <c r="C401" s="4">
        <v>1</v>
      </c>
      <c r="D401" s="4" t="s">
        <v>1334</v>
      </c>
      <c r="E401" s="4">
        <v>2</v>
      </c>
    </row>
    <row r="402" spans="1:5" ht="33.75">
      <c r="A402" s="1" t="s">
        <v>792</v>
      </c>
      <c r="B402" s="1" t="s">
        <v>793</v>
      </c>
      <c r="C402" s="4">
        <v>2</v>
      </c>
      <c r="D402" s="4" t="s">
        <v>1334</v>
      </c>
      <c r="E402" s="4">
        <v>2</v>
      </c>
    </row>
    <row r="403" spans="1:5" ht="33.75">
      <c r="A403" s="1" t="s">
        <v>794</v>
      </c>
      <c r="B403" s="1" t="s">
        <v>795</v>
      </c>
      <c r="C403" s="4">
        <v>4</v>
      </c>
      <c r="D403" s="4" t="s">
        <v>1334</v>
      </c>
      <c r="E403" s="4">
        <v>2</v>
      </c>
    </row>
    <row r="404" spans="1:5" ht="33.75">
      <c r="A404" s="1" t="s">
        <v>796</v>
      </c>
      <c r="B404" s="1" t="s">
        <v>797</v>
      </c>
      <c r="C404" s="4">
        <v>2</v>
      </c>
      <c r="D404" s="4" t="s">
        <v>1334</v>
      </c>
      <c r="E404" s="4">
        <v>2</v>
      </c>
    </row>
    <row r="405" spans="1:5" ht="33.75">
      <c r="A405" s="1" t="s">
        <v>798</v>
      </c>
      <c r="B405" s="1" t="s">
        <v>799</v>
      </c>
      <c r="C405" s="4"/>
      <c r="D405" s="4"/>
      <c r="E405" s="4"/>
    </row>
    <row r="406" spans="1:5" ht="33.75">
      <c r="A406" s="1" t="s">
        <v>800</v>
      </c>
      <c r="B406" s="1" t="s">
        <v>801</v>
      </c>
      <c r="C406" s="4"/>
      <c r="D406" s="4"/>
      <c r="E406" s="4"/>
    </row>
    <row r="407" spans="1:5" ht="33.75">
      <c r="A407" s="1" t="s">
        <v>802</v>
      </c>
      <c r="B407" s="1" t="s">
        <v>803</v>
      </c>
      <c r="C407" s="4"/>
      <c r="D407" s="4"/>
      <c r="E407" s="4"/>
    </row>
    <row r="408" spans="1:5" ht="33.75">
      <c r="A408" s="1" t="s">
        <v>804</v>
      </c>
      <c r="B408" s="1" t="s">
        <v>805</v>
      </c>
      <c r="C408" s="4"/>
      <c r="D408" s="4"/>
      <c r="E408" s="4"/>
    </row>
    <row r="409" spans="1:5" ht="33.75">
      <c r="A409" s="1" t="s">
        <v>806</v>
      </c>
      <c r="B409" s="1" t="s">
        <v>807</v>
      </c>
      <c r="C409" s="4"/>
      <c r="D409" s="4"/>
      <c r="E409" s="4"/>
    </row>
    <row r="410" spans="1:5" ht="33.75">
      <c r="A410" s="1" t="s">
        <v>808</v>
      </c>
      <c r="B410" s="1" t="s">
        <v>809</v>
      </c>
      <c r="C410" s="4">
        <v>293</v>
      </c>
      <c r="D410" s="4" t="s">
        <v>1331</v>
      </c>
      <c r="E410" s="4">
        <v>5</v>
      </c>
    </row>
    <row r="411" spans="1:5" ht="33.75">
      <c r="A411" s="1" t="s">
        <v>810</v>
      </c>
      <c r="B411" s="1" t="s">
        <v>811</v>
      </c>
      <c r="C411" s="4"/>
      <c r="D411" s="4"/>
      <c r="E411" s="4"/>
    </row>
    <row r="412" spans="1:5" ht="33.75">
      <c r="A412" s="1" t="s">
        <v>812</v>
      </c>
      <c r="B412" s="1" t="s">
        <v>813</v>
      </c>
      <c r="C412" s="4"/>
      <c r="D412" s="4"/>
      <c r="E412" s="4"/>
    </row>
    <row r="413" spans="1:5" ht="33.75">
      <c r="A413" s="1" t="s">
        <v>814</v>
      </c>
      <c r="B413" s="1" t="s">
        <v>815</v>
      </c>
      <c r="C413" s="4">
        <v>4</v>
      </c>
      <c r="D413" s="4" t="s">
        <v>7</v>
      </c>
      <c r="E413" s="4">
        <v>2</v>
      </c>
    </row>
    <row r="414" spans="1:5" ht="33.75">
      <c r="A414" s="1" t="e">
        <v>#N/A</v>
      </c>
      <c r="B414" s="1" t="s">
        <v>816</v>
      </c>
      <c r="C414" s="4"/>
      <c r="D414" s="4"/>
      <c r="E414" s="4"/>
    </row>
    <row r="415" spans="1:5" ht="33.75">
      <c r="A415" s="1" t="s">
        <v>817</v>
      </c>
      <c r="B415" s="1" t="s">
        <v>818</v>
      </c>
      <c r="C415" s="4"/>
      <c r="D415" s="4"/>
      <c r="E415" s="4"/>
    </row>
    <row r="416" spans="1:5" ht="33.75">
      <c r="A416" s="1" t="s">
        <v>819</v>
      </c>
      <c r="B416" s="1" t="s">
        <v>820</v>
      </c>
      <c r="C416" s="4"/>
      <c r="D416" s="4"/>
      <c r="E416" s="4"/>
    </row>
    <row r="417" spans="1:5" ht="33.75">
      <c r="A417" s="1" t="s">
        <v>821</v>
      </c>
      <c r="B417" s="1" t="s">
        <v>822</v>
      </c>
      <c r="C417" s="4"/>
      <c r="D417" s="4"/>
      <c r="E417" s="4"/>
    </row>
    <row r="418" spans="1:5" ht="33.75">
      <c r="A418" s="1" t="s">
        <v>823</v>
      </c>
      <c r="B418" s="1" t="s">
        <v>824</v>
      </c>
      <c r="C418" s="4">
        <v>447</v>
      </c>
      <c r="D418" s="4" t="s">
        <v>1331</v>
      </c>
      <c r="E418" s="4">
        <v>4</v>
      </c>
    </row>
    <row r="419" spans="1:5" ht="33.75">
      <c r="A419" s="1" t="s">
        <v>825</v>
      </c>
      <c r="B419" s="1" t="s">
        <v>826</v>
      </c>
      <c r="C419" s="4">
        <v>38</v>
      </c>
      <c r="D419" s="4" t="s">
        <v>1331</v>
      </c>
      <c r="E419" s="4">
        <v>4</v>
      </c>
    </row>
    <row r="420" spans="1:5" ht="33.75">
      <c r="A420" s="1" t="s">
        <v>827</v>
      </c>
      <c r="B420" s="1" t="s">
        <v>828</v>
      </c>
      <c r="C420" s="4">
        <v>376</v>
      </c>
      <c r="D420" s="4" t="s">
        <v>1331</v>
      </c>
      <c r="E420" s="4">
        <v>4</v>
      </c>
    </row>
    <row r="421" spans="1:5" ht="33.75">
      <c r="A421" s="1" t="s">
        <v>829</v>
      </c>
      <c r="B421" s="1" t="s">
        <v>830</v>
      </c>
      <c r="C421" s="4">
        <v>6</v>
      </c>
      <c r="D421" s="4" t="s">
        <v>1337</v>
      </c>
      <c r="E421" s="4">
        <v>2</v>
      </c>
    </row>
    <row r="422" spans="1:5" ht="33.75">
      <c r="A422" s="1" t="s">
        <v>831</v>
      </c>
      <c r="B422" s="1" t="s">
        <v>832</v>
      </c>
      <c r="C422" s="4">
        <v>2</v>
      </c>
      <c r="D422" s="4" t="s">
        <v>1337</v>
      </c>
      <c r="E422" s="4">
        <v>2</v>
      </c>
    </row>
    <row r="423" spans="1:5" ht="33.75">
      <c r="A423" s="1" t="s">
        <v>833</v>
      </c>
      <c r="B423" s="1" t="s">
        <v>834</v>
      </c>
      <c r="C423" s="4">
        <v>2</v>
      </c>
      <c r="D423" s="4" t="s">
        <v>1337</v>
      </c>
      <c r="E423" s="4">
        <v>2</v>
      </c>
    </row>
    <row r="424" spans="1:5" ht="33.75">
      <c r="A424" s="1" t="s">
        <v>835</v>
      </c>
      <c r="B424" s="1" t="s">
        <v>836</v>
      </c>
      <c r="C424" s="4">
        <v>14</v>
      </c>
      <c r="D424" s="4" t="s">
        <v>1337</v>
      </c>
      <c r="E424" s="4">
        <v>2</v>
      </c>
    </row>
    <row r="425" spans="1:5" ht="33.75">
      <c r="A425" s="1" t="s">
        <v>837</v>
      </c>
      <c r="B425" s="1" t="s">
        <v>838</v>
      </c>
      <c r="C425" s="4">
        <v>2</v>
      </c>
      <c r="D425" s="4" t="s">
        <v>1337</v>
      </c>
      <c r="E425" s="4">
        <v>2</v>
      </c>
    </row>
    <row r="426" spans="1:5" ht="33.75">
      <c r="A426" s="1" t="s">
        <v>839</v>
      </c>
      <c r="B426" s="1" t="s">
        <v>840</v>
      </c>
      <c r="C426" s="4">
        <v>1</v>
      </c>
      <c r="D426" s="4" t="s">
        <v>1337</v>
      </c>
      <c r="E426" s="4">
        <v>2</v>
      </c>
    </row>
    <row r="427" spans="1:5" ht="33.75">
      <c r="A427" s="1" t="s">
        <v>841</v>
      </c>
      <c r="B427" s="1" t="s">
        <v>842</v>
      </c>
      <c r="C427" s="4"/>
      <c r="D427" s="4"/>
      <c r="E427" s="4"/>
    </row>
    <row r="428" spans="1:5" ht="33.75">
      <c r="A428" s="1" t="s">
        <v>843</v>
      </c>
      <c r="B428" s="1" t="s">
        <v>844</v>
      </c>
      <c r="C428" s="4"/>
      <c r="D428" s="4"/>
      <c r="E428" s="4"/>
    </row>
    <row r="429" spans="1:5" ht="33.75">
      <c r="A429" s="1" t="s">
        <v>845</v>
      </c>
      <c r="B429" s="1" t="s">
        <v>846</v>
      </c>
      <c r="C429" s="4"/>
      <c r="D429" s="4"/>
      <c r="E429" s="4"/>
    </row>
    <row r="430" spans="1:5" ht="33.75">
      <c r="A430" s="1" t="s">
        <v>847</v>
      </c>
      <c r="B430" s="1" t="s">
        <v>848</v>
      </c>
      <c r="C430" s="4"/>
      <c r="D430" s="4"/>
      <c r="E430" s="4"/>
    </row>
    <row r="431" spans="1:5" ht="33.75">
      <c r="A431" s="1" t="s">
        <v>849</v>
      </c>
      <c r="B431" s="1" t="s">
        <v>850</v>
      </c>
      <c r="C431" s="4"/>
      <c r="D431" s="4"/>
      <c r="E431" s="4"/>
    </row>
    <row r="432" spans="1:5" ht="33.75">
      <c r="A432" s="1" t="s">
        <v>851</v>
      </c>
      <c r="B432" s="1" t="s">
        <v>852</v>
      </c>
      <c r="C432" s="4">
        <v>5</v>
      </c>
      <c r="D432" s="4" t="s">
        <v>1337</v>
      </c>
      <c r="E432" s="4">
        <v>2</v>
      </c>
    </row>
    <row r="433" spans="1:5" ht="33.75">
      <c r="A433" s="1" t="s">
        <v>853</v>
      </c>
      <c r="B433" s="1" t="s">
        <v>854</v>
      </c>
      <c r="C433" s="4">
        <v>10</v>
      </c>
      <c r="D433" s="4" t="s">
        <v>1337</v>
      </c>
      <c r="E433" s="4">
        <v>2</v>
      </c>
    </row>
    <row r="434" spans="1:5" ht="33.75">
      <c r="A434" s="1" t="s">
        <v>855</v>
      </c>
      <c r="B434" s="1" t="s">
        <v>856</v>
      </c>
      <c r="C434" s="4"/>
      <c r="D434" s="4"/>
      <c r="E434" s="4"/>
    </row>
    <row r="435" spans="1:5" ht="33.75">
      <c r="A435" s="1" t="s">
        <v>857</v>
      </c>
      <c r="B435" s="1" t="s">
        <v>858</v>
      </c>
      <c r="C435" s="4"/>
      <c r="D435" s="4"/>
      <c r="E435" s="4"/>
    </row>
    <row r="436" spans="1:5" ht="33.75">
      <c r="A436" s="1" t="s">
        <v>859</v>
      </c>
      <c r="B436" s="1" t="s">
        <v>860</v>
      </c>
      <c r="C436" s="4"/>
      <c r="D436" s="4"/>
      <c r="E436" s="4"/>
    </row>
    <row r="437" spans="1:5" ht="33.75">
      <c r="A437" s="1">
        <v>49720</v>
      </c>
      <c r="B437" s="1" t="s">
        <v>1339</v>
      </c>
      <c r="C437" s="4">
        <v>10</v>
      </c>
      <c r="D437" s="4" t="s">
        <v>1338</v>
      </c>
      <c r="E437" s="4">
        <v>4</v>
      </c>
    </row>
    <row r="438" spans="1:5" ht="33.75">
      <c r="A438" s="1">
        <v>49719</v>
      </c>
      <c r="B438" s="1" t="s">
        <v>1340</v>
      </c>
      <c r="C438" s="4">
        <v>12</v>
      </c>
      <c r="D438" s="4" t="s">
        <v>1338</v>
      </c>
      <c r="E438" s="4">
        <v>4</v>
      </c>
    </row>
    <row r="439" spans="1:5" ht="33.75">
      <c r="A439" s="1" t="s">
        <v>861</v>
      </c>
      <c r="B439" s="1" t="s">
        <v>862</v>
      </c>
      <c r="C439" s="4">
        <v>2</v>
      </c>
      <c r="D439" s="4" t="s">
        <v>1338</v>
      </c>
      <c r="E439" s="4">
        <v>4</v>
      </c>
    </row>
    <row r="440" spans="1:5" ht="33.75">
      <c r="A440" s="1" t="s">
        <v>863</v>
      </c>
      <c r="B440" s="1" t="s">
        <v>864</v>
      </c>
      <c r="C440" s="4">
        <v>4</v>
      </c>
      <c r="D440" s="4" t="s">
        <v>1338</v>
      </c>
      <c r="E440" s="4">
        <v>4</v>
      </c>
    </row>
    <row r="441" spans="1:5" ht="33.75">
      <c r="A441" s="1" t="s">
        <v>865</v>
      </c>
      <c r="B441" s="1" t="s">
        <v>866</v>
      </c>
      <c r="C441" s="4">
        <v>29</v>
      </c>
      <c r="D441" s="4" t="s">
        <v>1338</v>
      </c>
      <c r="E441" s="4">
        <v>4</v>
      </c>
    </row>
    <row r="442" spans="1:5" ht="33.75">
      <c r="A442" s="1" t="s">
        <v>867</v>
      </c>
      <c r="B442" s="1" t="s">
        <v>868</v>
      </c>
      <c r="C442" s="4"/>
      <c r="D442" s="4"/>
      <c r="E442" s="4"/>
    </row>
    <row r="443" spans="1:5" ht="33.75">
      <c r="A443" s="1">
        <v>48262</v>
      </c>
      <c r="B443" s="1" t="s">
        <v>869</v>
      </c>
      <c r="C443" s="4"/>
      <c r="D443" s="4"/>
      <c r="E443" s="4"/>
    </row>
    <row r="444" spans="1:5" ht="33.75">
      <c r="A444" s="1">
        <v>48264</v>
      </c>
      <c r="B444" s="1" t="s">
        <v>870</v>
      </c>
      <c r="C444" s="4"/>
      <c r="D444" s="4"/>
      <c r="E444" s="4"/>
    </row>
    <row r="445" spans="1:5" ht="33.75">
      <c r="A445" s="1">
        <v>48263</v>
      </c>
      <c r="B445" s="1" t="s">
        <v>871</v>
      </c>
      <c r="C445" s="4"/>
      <c r="D445" s="4"/>
      <c r="E445" s="4"/>
    </row>
    <row r="446" spans="1:5" ht="33.75">
      <c r="A446" s="1">
        <v>48260</v>
      </c>
      <c r="B446" s="1" t="s">
        <v>872</v>
      </c>
      <c r="C446" s="4"/>
      <c r="D446" s="4"/>
      <c r="E446" s="4"/>
    </row>
    <row r="447" spans="1:5" ht="33.75">
      <c r="A447" s="1">
        <v>48261</v>
      </c>
      <c r="B447" s="1" t="s">
        <v>873</v>
      </c>
      <c r="C447" s="4"/>
      <c r="D447" s="4"/>
      <c r="E447" s="4"/>
    </row>
    <row r="448" spans="1:5" ht="33.75">
      <c r="A448" s="1" t="s">
        <v>874</v>
      </c>
      <c r="B448" s="1" t="s">
        <v>875</v>
      </c>
      <c r="C448" s="4"/>
      <c r="D448" s="4"/>
      <c r="E448" s="4"/>
    </row>
    <row r="449" spans="1:5" ht="33.75">
      <c r="A449" s="1" t="s">
        <v>876</v>
      </c>
      <c r="B449" s="1" t="s">
        <v>877</v>
      </c>
      <c r="C449" s="4">
        <v>2</v>
      </c>
      <c r="D449" s="4" t="s">
        <v>1338</v>
      </c>
      <c r="E449" s="4">
        <v>3</v>
      </c>
    </row>
    <row r="450" spans="1:5" ht="33.75">
      <c r="A450" s="1" t="s">
        <v>878</v>
      </c>
      <c r="B450" s="1" t="s">
        <v>879</v>
      </c>
      <c r="C450" s="4"/>
      <c r="D450" s="4"/>
      <c r="E450" s="4"/>
    </row>
    <row r="451" spans="1:5" ht="33.75">
      <c r="A451" s="1" t="s">
        <v>880</v>
      </c>
      <c r="B451" s="1" t="s">
        <v>881</v>
      </c>
      <c r="C451" s="4"/>
      <c r="D451" s="4"/>
      <c r="E451" s="4"/>
    </row>
    <row r="452" spans="1:5" ht="33.75">
      <c r="A452" s="1" t="s">
        <v>882</v>
      </c>
      <c r="B452" s="1" t="s">
        <v>883</v>
      </c>
      <c r="C452" s="4"/>
      <c r="D452" s="4"/>
      <c r="E452" s="4"/>
    </row>
    <row r="453" spans="1:5" ht="33.75">
      <c r="A453" s="1" t="s">
        <v>884</v>
      </c>
      <c r="B453" s="1" t="s">
        <v>885</v>
      </c>
      <c r="C453" s="4">
        <v>2</v>
      </c>
      <c r="D453" s="4" t="s">
        <v>1338</v>
      </c>
      <c r="E453" s="4">
        <v>3</v>
      </c>
    </row>
    <row r="454" spans="1:5" ht="33.75">
      <c r="A454" s="1" t="s">
        <v>886</v>
      </c>
      <c r="B454" s="1" t="s">
        <v>887</v>
      </c>
      <c r="C454" s="4"/>
      <c r="D454" s="4"/>
      <c r="E454" s="4"/>
    </row>
    <row r="455" spans="1:5" ht="33.75">
      <c r="A455" s="1" t="s">
        <v>888</v>
      </c>
      <c r="B455" s="1" t="s">
        <v>889</v>
      </c>
      <c r="C455" s="4"/>
      <c r="D455" s="4"/>
      <c r="E455" s="4"/>
    </row>
    <row r="456" spans="1:5" ht="33.75">
      <c r="A456" s="1" t="s">
        <v>890</v>
      </c>
      <c r="B456" s="1" t="s">
        <v>891</v>
      </c>
      <c r="C456" s="4">
        <v>13</v>
      </c>
      <c r="D456" s="4" t="s">
        <v>1337</v>
      </c>
      <c r="E456" s="4">
        <v>2</v>
      </c>
    </row>
    <row r="457" spans="1:5" ht="33.75">
      <c r="A457" s="1" t="s">
        <v>892</v>
      </c>
      <c r="B457" s="1" t="s">
        <v>893</v>
      </c>
      <c r="C457" s="4"/>
      <c r="D457" s="4"/>
      <c r="E457" s="4"/>
    </row>
    <row r="458" spans="1:5" ht="33.75">
      <c r="A458" s="1" t="s">
        <v>894</v>
      </c>
      <c r="B458" s="1" t="s">
        <v>895</v>
      </c>
      <c r="C458" s="4"/>
      <c r="D458" s="4"/>
      <c r="E458" s="4"/>
    </row>
    <row r="459" spans="1:5" ht="33.75">
      <c r="A459" s="1" t="s">
        <v>896</v>
      </c>
      <c r="B459" s="1" t="s">
        <v>897</v>
      </c>
      <c r="C459" s="4"/>
      <c r="D459" s="4"/>
      <c r="E459" s="4"/>
    </row>
    <row r="460" spans="1:5" ht="33.75">
      <c r="A460" s="1" t="s">
        <v>898</v>
      </c>
      <c r="B460" s="1" t="s">
        <v>899</v>
      </c>
      <c r="C460" s="4"/>
      <c r="D460" s="4"/>
      <c r="E460" s="4"/>
    </row>
    <row r="461" spans="1:5" ht="33.75">
      <c r="A461" s="1" t="s">
        <v>900</v>
      </c>
      <c r="B461" s="1" t="s">
        <v>901</v>
      </c>
      <c r="C461" s="4"/>
      <c r="D461" s="4"/>
      <c r="E461" s="4"/>
    </row>
    <row r="462" spans="1:5" ht="33.75">
      <c r="A462" s="1" t="s">
        <v>902</v>
      </c>
      <c r="B462" s="1" t="s">
        <v>903</v>
      </c>
      <c r="C462" s="4"/>
      <c r="D462" s="4"/>
      <c r="E462" s="4"/>
    </row>
    <row r="463" spans="1:5" ht="33.75">
      <c r="A463" s="1" t="s">
        <v>904</v>
      </c>
      <c r="B463" s="1" t="s">
        <v>905</v>
      </c>
      <c r="C463" s="4"/>
      <c r="D463" s="4"/>
      <c r="E463" s="4"/>
    </row>
    <row r="464" spans="1:5" ht="33.75">
      <c r="A464" s="1" t="s">
        <v>906</v>
      </c>
      <c r="B464" s="1" t="s">
        <v>907</v>
      </c>
      <c r="C464" s="4">
        <v>9</v>
      </c>
      <c r="D464" s="4" t="s">
        <v>1338</v>
      </c>
      <c r="E464" s="4">
        <v>3</v>
      </c>
    </row>
    <row r="465" spans="1:5" ht="33.75">
      <c r="A465" s="1" t="s">
        <v>908</v>
      </c>
      <c r="B465" s="1" t="s">
        <v>909</v>
      </c>
      <c r="C465" s="4">
        <v>21</v>
      </c>
      <c r="D465" s="4" t="s">
        <v>1338</v>
      </c>
      <c r="E465" s="4">
        <v>3</v>
      </c>
    </row>
    <row r="466" spans="1:5" ht="33.75">
      <c r="A466" s="1" t="s">
        <v>910</v>
      </c>
      <c r="B466" s="1" t="s">
        <v>911</v>
      </c>
      <c r="C466" s="4">
        <v>11</v>
      </c>
      <c r="D466" s="4" t="s">
        <v>1338</v>
      </c>
      <c r="E466" s="4">
        <v>3</v>
      </c>
    </row>
    <row r="467" spans="1:5" ht="33.75">
      <c r="A467" s="1" t="s">
        <v>912</v>
      </c>
      <c r="B467" s="1" t="s">
        <v>913</v>
      </c>
      <c r="C467" s="4">
        <v>20</v>
      </c>
      <c r="D467" s="4" t="s">
        <v>1338</v>
      </c>
      <c r="E467" s="4">
        <v>3</v>
      </c>
    </row>
    <row r="468" spans="1:5" ht="33.75">
      <c r="A468" s="1"/>
      <c r="B468" s="1" t="s">
        <v>1342</v>
      </c>
      <c r="C468" s="4">
        <v>4</v>
      </c>
      <c r="D468" s="4" t="s">
        <v>1338</v>
      </c>
      <c r="E468" s="4">
        <v>3</v>
      </c>
    </row>
    <row r="469" spans="1:5" ht="33.75">
      <c r="A469" s="1" t="s">
        <v>914</v>
      </c>
      <c r="B469" s="1" t="s">
        <v>915</v>
      </c>
      <c r="C469" s="4"/>
      <c r="D469" s="4"/>
      <c r="E469" s="4"/>
    </row>
    <row r="470" spans="1:5" ht="33.75">
      <c r="A470" s="1" t="s">
        <v>916</v>
      </c>
      <c r="B470" s="1" t="s">
        <v>917</v>
      </c>
      <c r="C470" s="4"/>
      <c r="D470" s="4"/>
      <c r="E470" s="4"/>
    </row>
    <row r="471" spans="1:5" ht="33.75">
      <c r="A471" s="1" t="s">
        <v>918</v>
      </c>
      <c r="B471" s="1" t="s">
        <v>919</v>
      </c>
      <c r="C471" s="4"/>
      <c r="D471" s="4"/>
      <c r="E471" s="4"/>
    </row>
    <row r="472" spans="1:5" ht="33.75">
      <c r="A472" s="1" t="s">
        <v>920</v>
      </c>
      <c r="B472" s="1" t="s">
        <v>921</v>
      </c>
      <c r="C472" s="4"/>
      <c r="D472" s="4"/>
      <c r="E472" s="4"/>
    </row>
    <row r="473" spans="1:5" ht="33.75">
      <c r="A473" s="1" t="s">
        <v>922</v>
      </c>
      <c r="B473" s="1" t="s">
        <v>923</v>
      </c>
      <c r="C473" s="4"/>
      <c r="D473" s="4"/>
      <c r="E473" s="4"/>
    </row>
    <row r="474" spans="1:5" ht="33.75">
      <c r="A474" s="1" t="s">
        <v>924</v>
      </c>
      <c r="B474" s="1" t="s">
        <v>925</v>
      </c>
      <c r="C474" s="4"/>
      <c r="D474" s="4"/>
      <c r="E474" s="4"/>
    </row>
    <row r="475" spans="1:5" ht="33.75">
      <c r="A475" s="1" t="s">
        <v>926</v>
      </c>
      <c r="B475" s="1" t="s">
        <v>927</v>
      </c>
      <c r="C475" s="4"/>
      <c r="D475" s="4"/>
      <c r="E475" s="4"/>
    </row>
    <row r="476" spans="1:5" ht="33.75">
      <c r="A476" s="1" t="s">
        <v>928</v>
      </c>
      <c r="B476" s="1" t="s">
        <v>929</v>
      </c>
      <c r="C476" s="4"/>
      <c r="D476" s="4"/>
      <c r="E476" s="4"/>
    </row>
    <row r="477" spans="1:5" ht="33.75">
      <c r="A477" s="1" t="e">
        <v>#N/A</v>
      </c>
      <c r="B477" s="1" t="s">
        <v>930</v>
      </c>
      <c r="C477" s="4"/>
      <c r="D477" s="4"/>
      <c r="E477" s="4"/>
    </row>
    <row r="478" spans="1:5" ht="33.75">
      <c r="A478" s="1">
        <v>7707</v>
      </c>
      <c r="B478" s="1" t="s">
        <v>1330</v>
      </c>
      <c r="C478" s="4">
        <v>3</v>
      </c>
      <c r="D478" s="4" t="s">
        <v>7</v>
      </c>
      <c r="E478" s="4">
        <v>2</v>
      </c>
    </row>
    <row r="479" spans="1:5" ht="33.75">
      <c r="A479" s="1" t="s">
        <v>931</v>
      </c>
      <c r="B479" s="1" t="s">
        <v>932</v>
      </c>
      <c r="C479" s="4">
        <v>78</v>
      </c>
      <c r="D479" s="4" t="s">
        <v>7</v>
      </c>
      <c r="E479" s="4">
        <v>2</v>
      </c>
    </row>
    <row r="480" spans="1:5" ht="33.75">
      <c r="A480" s="1" t="s">
        <v>933</v>
      </c>
      <c r="B480" s="1" t="s">
        <v>934</v>
      </c>
      <c r="C480" s="4"/>
      <c r="D480" s="4"/>
      <c r="E480" s="4"/>
    </row>
    <row r="481" spans="1:5" ht="33.75">
      <c r="A481" s="1" t="s">
        <v>935</v>
      </c>
      <c r="B481" s="1" t="s">
        <v>936</v>
      </c>
      <c r="C481" s="4"/>
      <c r="D481" s="4"/>
      <c r="E481" s="4"/>
    </row>
    <row r="482" spans="1:5" ht="33.75">
      <c r="A482" s="1" t="s">
        <v>937</v>
      </c>
      <c r="B482" s="1" t="s">
        <v>938</v>
      </c>
      <c r="C482" s="4"/>
      <c r="D482" s="4"/>
      <c r="E482" s="4"/>
    </row>
    <row r="483" spans="1:5" ht="33.75">
      <c r="A483" s="1" t="s">
        <v>939</v>
      </c>
      <c r="B483" s="1" t="s">
        <v>940</v>
      </c>
      <c r="C483" s="4"/>
      <c r="D483" s="4"/>
      <c r="E483" s="4"/>
    </row>
    <row r="484" spans="1:5" ht="33.75">
      <c r="A484" s="1" t="s">
        <v>941</v>
      </c>
      <c r="B484" s="1" t="s">
        <v>942</v>
      </c>
      <c r="C484" s="4">
        <v>91</v>
      </c>
      <c r="D484" s="4" t="s">
        <v>1331</v>
      </c>
      <c r="E484" s="4">
        <v>4</v>
      </c>
    </row>
    <row r="485" spans="1:5" ht="33.75">
      <c r="A485" s="1" t="s">
        <v>943</v>
      </c>
      <c r="B485" s="1" t="s">
        <v>944</v>
      </c>
      <c r="C485" s="4">
        <v>285</v>
      </c>
      <c r="D485" s="4" t="s">
        <v>1331</v>
      </c>
      <c r="E485" s="4">
        <v>5</v>
      </c>
    </row>
    <row r="486" spans="1:5" ht="33.75">
      <c r="A486" s="1" t="s">
        <v>945</v>
      </c>
      <c r="B486" s="1" t="s">
        <v>946</v>
      </c>
      <c r="C486" s="4">
        <v>1</v>
      </c>
      <c r="D486" s="4" t="s">
        <v>1331</v>
      </c>
      <c r="E486" s="4">
        <v>2</v>
      </c>
    </row>
    <row r="487" spans="1:5" ht="33.75">
      <c r="A487" s="1" t="s">
        <v>947</v>
      </c>
      <c r="B487" s="1" t="s">
        <v>948</v>
      </c>
      <c r="C487" s="4">
        <v>4</v>
      </c>
      <c r="D487" s="4" t="s">
        <v>1331</v>
      </c>
      <c r="E487" s="4">
        <v>2</v>
      </c>
    </row>
    <row r="488" spans="1:5" ht="33.75">
      <c r="A488" s="1" t="e">
        <v>#N/A</v>
      </c>
      <c r="B488" s="1" t="s">
        <v>949</v>
      </c>
      <c r="C488" s="4"/>
      <c r="D488" s="4"/>
      <c r="E488" s="4"/>
    </row>
    <row r="489" spans="1:5" ht="33.75">
      <c r="A489" s="1" t="s">
        <v>950</v>
      </c>
      <c r="B489" s="1" t="s">
        <v>951</v>
      </c>
      <c r="C489" s="4">
        <v>9</v>
      </c>
      <c r="D489" s="4" t="s">
        <v>1331</v>
      </c>
      <c r="E489" s="4">
        <v>2</v>
      </c>
    </row>
    <row r="490" spans="1:5" ht="33.75">
      <c r="A490" s="1" t="s">
        <v>952</v>
      </c>
      <c r="B490" s="1" t="s">
        <v>953</v>
      </c>
      <c r="C490" s="4">
        <v>2</v>
      </c>
      <c r="D490" s="4" t="s">
        <v>1331</v>
      </c>
      <c r="E490" s="4">
        <v>2</v>
      </c>
    </row>
    <row r="491" spans="1:5" ht="33.75">
      <c r="A491" s="1" t="s">
        <v>954</v>
      </c>
      <c r="B491" s="1" t="s">
        <v>955</v>
      </c>
      <c r="C491" s="4">
        <v>11</v>
      </c>
      <c r="D491" s="4" t="s">
        <v>1331</v>
      </c>
      <c r="E491" s="4">
        <v>2</v>
      </c>
    </row>
    <row r="492" spans="1:5" ht="33.75">
      <c r="A492" s="1" t="e">
        <v>#N/A</v>
      </c>
      <c r="B492" s="1" t="s">
        <v>956</v>
      </c>
      <c r="C492" s="4"/>
      <c r="D492" s="4"/>
      <c r="E492" s="4"/>
    </row>
    <row r="493" spans="1:5" ht="33.75">
      <c r="A493" s="1" t="s">
        <v>957</v>
      </c>
      <c r="B493" s="1" t="s">
        <v>958</v>
      </c>
      <c r="C493" s="4"/>
      <c r="D493" s="4"/>
      <c r="E493" s="4"/>
    </row>
    <row r="494" spans="1:5" ht="33.75">
      <c r="A494" s="1" t="s">
        <v>959</v>
      </c>
      <c r="B494" s="1" t="s">
        <v>960</v>
      </c>
      <c r="C494" s="4">
        <v>7</v>
      </c>
      <c r="D494" s="4" t="s">
        <v>1337</v>
      </c>
      <c r="E494" s="4">
        <v>2</v>
      </c>
    </row>
    <row r="495" spans="1:5" ht="33.75">
      <c r="A495" s="1" t="s">
        <v>961</v>
      </c>
      <c r="B495" s="1" t="s">
        <v>962</v>
      </c>
      <c r="C495" s="4"/>
      <c r="D495" s="4"/>
      <c r="E495" s="4"/>
    </row>
    <row r="496" spans="1:5" ht="33.75">
      <c r="A496" s="1" t="s">
        <v>963</v>
      </c>
      <c r="B496" s="1" t="s">
        <v>964</v>
      </c>
      <c r="C496" s="4"/>
      <c r="D496" s="4"/>
      <c r="E496" s="4"/>
    </row>
    <row r="497" spans="1:5" ht="33.75">
      <c r="A497" s="1" t="s">
        <v>965</v>
      </c>
      <c r="B497" s="1" t="s">
        <v>966</v>
      </c>
      <c r="C497" s="4"/>
      <c r="D497" s="4"/>
      <c r="E497" s="4"/>
    </row>
    <row r="498" spans="1:5" ht="33.75">
      <c r="A498" s="1" t="s">
        <v>967</v>
      </c>
      <c r="B498" s="1" t="s">
        <v>968</v>
      </c>
      <c r="C498" s="4"/>
      <c r="D498" s="4"/>
      <c r="E498" s="4"/>
    </row>
    <row r="499" spans="1:5" ht="33.75">
      <c r="A499" s="1" t="s">
        <v>969</v>
      </c>
      <c r="B499" s="1" t="s">
        <v>970</v>
      </c>
      <c r="C499" s="4"/>
      <c r="D499" s="4"/>
      <c r="E499" s="4"/>
    </row>
    <row r="500" spans="1:5" ht="33.75">
      <c r="A500" s="1" t="s">
        <v>971</v>
      </c>
      <c r="B500" s="1" t="s">
        <v>972</v>
      </c>
      <c r="C500" s="4"/>
      <c r="D500" s="4"/>
      <c r="E500" s="4"/>
    </row>
    <row r="501" spans="1:5" ht="33.75">
      <c r="A501" s="1" t="s">
        <v>973</v>
      </c>
      <c r="B501" s="1" t="s">
        <v>974</v>
      </c>
      <c r="C501" s="4"/>
      <c r="D501" s="4"/>
      <c r="E501" s="4"/>
    </row>
    <row r="502" spans="1:5" ht="33.75">
      <c r="A502" s="1" t="s">
        <v>975</v>
      </c>
      <c r="B502" s="1" t="s">
        <v>976</v>
      </c>
      <c r="C502" s="4"/>
      <c r="D502" s="4"/>
      <c r="E502" s="4"/>
    </row>
    <row r="503" spans="1:5" ht="33.75">
      <c r="A503" s="1" t="s">
        <v>977</v>
      </c>
      <c r="B503" s="1" t="s">
        <v>978</v>
      </c>
      <c r="C503" s="4"/>
      <c r="D503" s="4"/>
      <c r="E503" s="4"/>
    </row>
    <row r="504" spans="1:5" ht="33.75">
      <c r="A504" s="1" t="s">
        <v>979</v>
      </c>
      <c r="B504" s="1" t="s">
        <v>980</v>
      </c>
      <c r="C504" s="4"/>
      <c r="D504" s="4"/>
      <c r="E504" s="4"/>
    </row>
    <row r="505" spans="1:5" ht="33.75">
      <c r="A505" s="1" t="s">
        <v>981</v>
      </c>
      <c r="B505" s="1" t="s">
        <v>982</v>
      </c>
      <c r="C505" s="4"/>
      <c r="D505" s="4"/>
      <c r="E505" s="4"/>
    </row>
    <row r="506" spans="1:5" ht="33.75">
      <c r="A506" s="1" t="s">
        <v>983</v>
      </c>
      <c r="B506" s="1" t="s">
        <v>984</v>
      </c>
      <c r="C506" s="4"/>
      <c r="D506" s="4"/>
      <c r="E506" s="4"/>
    </row>
    <row r="507" spans="1:5" ht="33.75">
      <c r="A507" s="1" t="s">
        <v>985</v>
      </c>
      <c r="B507" s="1" t="s">
        <v>986</v>
      </c>
      <c r="C507" s="4"/>
      <c r="D507" s="4"/>
      <c r="E507" s="4"/>
    </row>
    <row r="508" spans="1:5" ht="33.75">
      <c r="A508" s="1" t="s">
        <v>987</v>
      </c>
      <c r="B508" s="1" t="s">
        <v>988</v>
      </c>
      <c r="C508" s="4"/>
      <c r="D508" s="4"/>
      <c r="E508" s="4"/>
    </row>
    <row r="509" spans="1:5" ht="33.75">
      <c r="A509" s="1" t="s">
        <v>989</v>
      </c>
      <c r="B509" s="1" t="s">
        <v>990</v>
      </c>
      <c r="C509" s="4"/>
      <c r="D509" s="4"/>
      <c r="E509" s="4"/>
    </row>
    <row r="510" spans="1:5" ht="33.75">
      <c r="A510" s="1" t="s">
        <v>991</v>
      </c>
      <c r="B510" s="1" t="s">
        <v>992</v>
      </c>
      <c r="C510" s="4"/>
      <c r="D510" s="4"/>
      <c r="E510" s="4"/>
    </row>
    <row r="511" spans="1:5" ht="33.75">
      <c r="A511" s="1" t="s">
        <v>993</v>
      </c>
      <c r="B511" s="1" t="s">
        <v>994</v>
      </c>
      <c r="C511" s="4"/>
      <c r="D511" s="4"/>
      <c r="E511" s="4"/>
    </row>
    <row r="512" spans="1:5" ht="33.75">
      <c r="A512" s="1" t="s">
        <v>995</v>
      </c>
      <c r="B512" s="1" t="s">
        <v>996</v>
      </c>
      <c r="C512" s="4"/>
      <c r="D512" s="4"/>
      <c r="E512" s="4"/>
    </row>
    <row r="513" spans="1:5" ht="33.75">
      <c r="A513" s="1" t="s">
        <v>997</v>
      </c>
      <c r="B513" s="1" t="s">
        <v>998</v>
      </c>
      <c r="C513" s="4"/>
      <c r="D513" s="4"/>
      <c r="E513" s="4"/>
    </row>
    <row r="514" spans="1:5" ht="33.75">
      <c r="A514" s="1" t="s">
        <v>999</v>
      </c>
      <c r="B514" s="1" t="s">
        <v>1000</v>
      </c>
      <c r="C514" s="4"/>
      <c r="D514" s="4"/>
      <c r="E514" s="4"/>
    </row>
    <row r="515" spans="1:5" ht="33.75">
      <c r="A515" s="1" t="s">
        <v>1001</v>
      </c>
      <c r="B515" s="1" t="s">
        <v>1002</v>
      </c>
      <c r="C515" s="4"/>
      <c r="D515" s="4"/>
      <c r="E515" s="4"/>
    </row>
    <row r="516" spans="1:5" ht="33.75">
      <c r="A516" s="1" t="s">
        <v>1003</v>
      </c>
      <c r="B516" s="1" t="s">
        <v>1004</v>
      </c>
      <c r="C516" s="4"/>
      <c r="D516" s="4"/>
      <c r="E516" s="4"/>
    </row>
    <row r="517" spans="1:5" ht="33.75">
      <c r="A517" s="1" t="s">
        <v>1005</v>
      </c>
      <c r="B517" s="1" t="s">
        <v>1006</v>
      </c>
      <c r="C517" s="4"/>
      <c r="D517" s="4"/>
      <c r="E517" s="4"/>
    </row>
    <row r="518" spans="1:5" ht="33.75">
      <c r="A518" s="1" t="s">
        <v>1007</v>
      </c>
      <c r="B518" s="1" t="s">
        <v>1008</v>
      </c>
      <c r="C518" s="4"/>
      <c r="D518" s="4"/>
      <c r="E518" s="4"/>
    </row>
    <row r="519" spans="1:5" ht="33.75">
      <c r="A519" s="1" t="s">
        <v>1009</v>
      </c>
      <c r="B519" s="1" t="s">
        <v>1010</v>
      </c>
      <c r="C519" s="4"/>
      <c r="D519" s="4"/>
      <c r="E519" s="4"/>
    </row>
    <row r="520" spans="1:5" ht="33.75">
      <c r="A520" s="1" t="s">
        <v>1011</v>
      </c>
      <c r="B520" s="1" t="s">
        <v>1012</v>
      </c>
      <c r="C520" s="4"/>
      <c r="D520" s="4"/>
      <c r="E520" s="4"/>
    </row>
    <row r="521" spans="1:5" ht="33.75">
      <c r="A521" s="1" t="s">
        <v>1013</v>
      </c>
      <c r="B521" s="1" t="s">
        <v>1014</v>
      </c>
      <c r="C521" s="4"/>
      <c r="D521" s="4"/>
      <c r="E521" s="4"/>
    </row>
    <row r="522" spans="1:5" ht="33.75">
      <c r="A522" s="1" t="s">
        <v>1015</v>
      </c>
      <c r="B522" s="1" t="s">
        <v>1016</v>
      </c>
      <c r="C522" s="4"/>
      <c r="D522" s="4"/>
      <c r="E522" s="4"/>
    </row>
    <row r="523" spans="1:5" ht="33.75">
      <c r="A523" s="1" t="s">
        <v>1017</v>
      </c>
      <c r="B523" s="1" t="s">
        <v>1018</v>
      </c>
      <c r="C523" s="4"/>
      <c r="D523" s="4"/>
      <c r="E523" s="4"/>
    </row>
    <row r="524" spans="1:5" ht="33.75">
      <c r="A524" s="1" t="s">
        <v>1019</v>
      </c>
      <c r="B524" s="1" t="s">
        <v>1020</v>
      </c>
      <c r="C524" s="4"/>
      <c r="D524" s="4"/>
      <c r="E524" s="4"/>
    </row>
    <row r="525" spans="1:5" ht="33.75">
      <c r="A525" s="1" t="s">
        <v>1021</v>
      </c>
      <c r="B525" s="1" t="s">
        <v>1022</v>
      </c>
      <c r="C525" s="4"/>
      <c r="D525" s="4"/>
      <c r="E525" s="4"/>
    </row>
    <row r="526" spans="1:5" ht="33.75">
      <c r="A526" s="1" t="s">
        <v>1023</v>
      </c>
      <c r="B526" s="1" t="s">
        <v>1024</v>
      </c>
      <c r="C526" s="4"/>
      <c r="D526" s="4"/>
      <c r="E526" s="4"/>
    </row>
    <row r="527" spans="1:5" ht="33.75">
      <c r="A527" s="1" t="s">
        <v>1025</v>
      </c>
      <c r="B527" s="1" t="s">
        <v>1026</v>
      </c>
      <c r="C527" s="4"/>
      <c r="D527" s="4"/>
      <c r="E527" s="4"/>
    </row>
    <row r="528" spans="1:5" ht="33.75">
      <c r="A528" s="1" t="s">
        <v>1027</v>
      </c>
      <c r="B528" s="1" t="s">
        <v>1028</v>
      </c>
      <c r="C528" s="4"/>
      <c r="D528" s="4"/>
      <c r="E528" s="4"/>
    </row>
    <row r="529" spans="1:5" ht="33.75">
      <c r="A529" s="1" t="s">
        <v>1029</v>
      </c>
      <c r="B529" s="1" t="s">
        <v>1030</v>
      </c>
      <c r="C529" s="4"/>
      <c r="D529" s="4"/>
      <c r="E529" s="4"/>
    </row>
    <row r="530" spans="1:5" ht="33.75">
      <c r="A530" s="1" t="s">
        <v>1031</v>
      </c>
      <c r="B530" s="1" t="s">
        <v>1032</v>
      </c>
      <c r="C530" s="4"/>
      <c r="D530" s="4"/>
      <c r="E530" s="4"/>
    </row>
    <row r="531" spans="1:5" ht="33.75">
      <c r="A531" s="1" t="s">
        <v>1033</v>
      </c>
      <c r="B531" s="1" t="s">
        <v>1034</v>
      </c>
      <c r="C531" s="4"/>
      <c r="D531" s="4"/>
      <c r="E531" s="4"/>
    </row>
    <row r="532" spans="1:5" ht="33.75">
      <c r="A532" s="1" t="s">
        <v>1035</v>
      </c>
      <c r="B532" s="1" t="s">
        <v>1036</v>
      </c>
      <c r="C532" s="4"/>
      <c r="D532" s="4"/>
      <c r="E532" s="4"/>
    </row>
    <row r="533" spans="1:5" ht="33.75">
      <c r="A533" s="1" t="s">
        <v>1037</v>
      </c>
      <c r="B533" s="1" t="s">
        <v>1038</v>
      </c>
      <c r="C533" s="4"/>
      <c r="D533" s="4"/>
      <c r="E533" s="4"/>
    </row>
    <row r="534" spans="1:5" ht="33.75">
      <c r="A534" s="1" t="s">
        <v>1039</v>
      </c>
      <c r="B534" s="1" t="s">
        <v>1040</v>
      </c>
      <c r="C534" s="4"/>
      <c r="D534" s="4"/>
      <c r="E534" s="4"/>
    </row>
    <row r="535" spans="1:5" ht="33.75">
      <c r="A535" s="1" t="s">
        <v>1041</v>
      </c>
      <c r="B535" s="1" t="s">
        <v>1042</v>
      </c>
      <c r="C535" s="4"/>
      <c r="D535" s="4"/>
      <c r="E535" s="4"/>
    </row>
    <row r="536" spans="1:5" ht="33.75">
      <c r="A536" s="1" t="s">
        <v>1043</v>
      </c>
      <c r="B536" s="1" t="s">
        <v>1044</v>
      </c>
      <c r="C536" s="4"/>
      <c r="D536" s="4"/>
      <c r="E536" s="4"/>
    </row>
    <row r="537" spans="1:5" ht="33.75">
      <c r="A537" s="1" t="s">
        <v>1045</v>
      </c>
      <c r="B537" s="1" t="s">
        <v>1046</v>
      </c>
      <c r="C537" s="4"/>
      <c r="D537" s="4"/>
      <c r="E537" s="4"/>
    </row>
    <row r="538" spans="1:5" ht="33.75">
      <c r="A538" s="1" t="s">
        <v>1047</v>
      </c>
      <c r="B538" s="1" t="s">
        <v>1048</v>
      </c>
      <c r="C538" s="4"/>
      <c r="D538" s="4"/>
      <c r="E538" s="4"/>
    </row>
    <row r="539" spans="1:5" ht="33.75">
      <c r="A539" s="1" t="s">
        <v>1049</v>
      </c>
      <c r="B539" s="1" t="s">
        <v>1050</v>
      </c>
      <c r="C539" s="4"/>
      <c r="D539" s="4"/>
      <c r="E539" s="4"/>
    </row>
    <row r="540" spans="1:5" ht="33.75">
      <c r="A540" s="1" t="s">
        <v>1051</v>
      </c>
      <c r="B540" s="1" t="s">
        <v>1052</v>
      </c>
      <c r="C540" s="4"/>
      <c r="D540" s="4"/>
      <c r="E540" s="4"/>
    </row>
    <row r="541" spans="1:5" ht="33.75">
      <c r="A541" s="1" t="s">
        <v>1053</v>
      </c>
      <c r="B541" s="1" t="s">
        <v>1054</v>
      </c>
      <c r="C541" s="4"/>
      <c r="D541" s="4"/>
      <c r="E541" s="4"/>
    </row>
    <row r="542" spans="1:5" ht="33.75">
      <c r="A542" s="1" t="s">
        <v>1055</v>
      </c>
      <c r="B542" s="1" t="s">
        <v>1056</v>
      </c>
      <c r="C542" s="4"/>
      <c r="D542" s="4"/>
      <c r="E542" s="4"/>
    </row>
    <row r="543" spans="1:5" ht="33.75">
      <c r="A543" s="1" t="s">
        <v>1057</v>
      </c>
      <c r="B543" s="1" t="s">
        <v>1058</v>
      </c>
      <c r="C543" s="4"/>
      <c r="D543" s="4"/>
      <c r="E543" s="4"/>
    </row>
    <row r="544" spans="1:5" ht="33.75">
      <c r="A544" s="1" t="s">
        <v>1059</v>
      </c>
      <c r="B544" s="1" t="s">
        <v>1060</v>
      </c>
      <c r="C544" s="4"/>
      <c r="D544" s="4"/>
      <c r="E544" s="4"/>
    </row>
    <row r="545" spans="1:5" ht="33.75">
      <c r="A545" s="1" t="s">
        <v>1061</v>
      </c>
      <c r="B545" s="1" t="s">
        <v>1062</v>
      </c>
      <c r="C545" s="4"/>
      <c r="D545" s="4"/>
      <c r="E545" s="4"/>
    </row>
    <row r="546" spans="1:5" ht="33.75">
      <c r="A546" s="1" t="s">
        <v>1063</v>
      </c>
      <c r="B546" s="1" t="s">
        <v>1064</v>
      </c>
      <c r="C546" s="4">
        <v>40</v>
      </c>
      <c r="D546" s="4" t="s">
        <v>1338</v>
      </c>
      <c r="E546" s="4">
        <v>3</v>
      </c>
    </row>
    <row r="547" spans="1:5" ht="33.75">
      <c r="A547" s="1" t="s">
        <v>1065</v>
      </c>
      <c r="B547" s="1" t="s">
        <v>1066</v>
      </c>
      <c r="C547" s="4"/>
      <c r="D547" s="4"/>
      <c r="E547" s="4"/>
    </row>
    <row r="548" spans="1:5" ht="33.75">
      <c r="A548" s="1" t="s">
        <v>1067</v>
      </c>
      <c r="B548" s="1" t="s">
        <v>1068</v>
      </c>
      <c r="C548" s="4"/>
      <c r="D548" s="4"/>
      <c r="E548" s="4"/>
    </row>
    <row r="549" spans="1:5" ht="33.75">
      <c r="A549" s="1" t="s">
        <v>1069</v>
      </c>
      <c r="B549" s="1" t="s">
        <v>1070</v>
      </c>
      <c r="C549" s="4"/>
      <c r="D549" s="4"/>
      <c r="E549" s="4"/>
    </row>
    <row r="550" spans="1:5" ht="33.75">
      <c r="A550" s="1" t="s">
        <v>1071</v>
      </c>
      <c r="B550" s="1" t="s">
        <v>1072</v>
      </c>
      <c r="C550" s="4"/>
      <c r="D550" s="4"/>
      <c r="E550" s="4"/>
    </row>
    <row r="551" spans="1:5" ht="33.75">
      <c r="A551" s="1" t="s">
        <v>1073</v>
      </c>
      <c r="B551" s="1" t="s">
        <v>1074</v>
      </c>
      <c r="C551" s="4"/>
      <c r="D551" s="4"/>
      <c r="E551" s="4"/>
    </row>
    <row r="552" spans="1:5" ht="33.75">
      <c r="A552" s="1" t="s">
        <v>1075</v>
      </c>
      <c r="B552" s="1" t="s">
        <v>1076</v>
      </c>
      <c r="C552" s="4"/>
      <c r="D552" s="4"/>
      <c r="E552" s="4"/>
    </row>
    <row r="553" spans="1:5" ht="33.75">
      <c r="A553" s="1" t="s">
        <v>1077</v>
      </c>
      <c r="B553" s="1" t="s">
        <v>1078</v>
      </c>
      <c r="C553" s="4"/>
      <c r="D553" s="4"/>
      <c r="E553" s="4"/>
    </row>
    <row r="554" spans="1:5" ht="33.75">
      <c r="A554" s="1" t="s">
        <v>1079</v>
      </c>
      <c r="B554" s="1" t="s">
        <v>1080</v>
      </c>
      <c r="C554" s="4"/>
      <c r="D554" s="4"/>
      <c r="E554" s="4"/>
    </row>
    <row r="555" spans="1:5" ht="33.75">
      <c r="A555" s="1" t="s">
        <v>1081</v>
      </c>
      <c r="B555" s="1" t="s">
        <v>1082</v>
      </c>
      <c r="C555" s="4"/>
      <c r="D555" s="4"/>
      <c r="E555" s="4"/>
    </row>
    <row r="556" spans="1:5" ht="33.75">
      <c r="A556" s="1" t="s">
        <v>1083</v>
      </c>
      <c r="B556" s="1" t="s">
        <v>1084</v>
      </c>
      <c r="C556" s="4"/>
      <c r="D556" s="4"/>
      <c r="E556" s="4"/>
    </row>
    <row r="557" spans="1:5" ht="33.75">
      <c r="A557" s="1" t="s">
        <v>1085</v>
      </c>
      <c r="B557" s="1" t="s">
        <v>1086</v>
      </c>
      <c r="C557" s="4">
        <v>111</v>
      </c>
      <c r="D557" s="4" t="s">
        <v>1338</v>
      </c>
      <c r="E557" s="4">
        <v>3</v>
      </c>
    </row>
    <row r="558" spans="1:5" ht="33.75">
      <c r="A558" s="1" t="s">
        <v>1087</v>
      </c>
      <c r="B558" s="1" t="s">
        <v>1088</v>
      </c>
      <c r="C558" s="4">
        <v>70</v>
      </c>
      <c r="D558" s="4" t="s">
        <v>1338</v>
      </c>
      <c r="E558" s="4">
        <v>3</v>
      </c>
    </row>
    <row r="559" spans="1:5" ht="33.75">
      <c r="A559" s="1" t="s">
        <v>1089</v>
      </c>
      <c r="B559" s="1" t="s">
        <v>1090</v>
      </c>
      <c r="C559" s="4">
        <v>0</v>
      </c>
      <c r="D559" s="4"/>
      <c r="E559" s="4"/>
    </row>
    <row r="560" spans="1:5" ht="33.75">
      <c r="A560" s="1" t="s">
        <v>1091</v>
      </c>
      <c r="B560" s="1" t="s">
        <v>1092</v>
      </c>
      <c r="C560" s="4">
        <v>0</v>
      </c>
      <c r="D560" s="4"/>
      <c r="E560" s="4"/>
    </row>
    <row r="561" spans="1:5" ht="33.75">
      <c r="A561" s="1" t="s">
        <v>1093</v>
      </c>
      <c r="B561" s="1" t="s">
        <v>1094</v>
      </c>
      <c r="C561" s="4">
        <f>28+15</f>
        <v>43</v>
      </c>
      <c r="D561" s="4" t="s">
        <v>1338</v>
      </c>
      <c r="E561" s="4">
        <v>3</v>
      </c>
    </row>
    <row r="562" spans="1:5" ht="33.75">
      <c r="A562" s="1" t="s">
        <v>1095</v>
      </c>
      <c r="B562" s="1" t="s">
        <v>1096</v>
      </c>
      <c r="C562" s="4"/>
      <c r="D562" s="4"/>
      <c r="E562" s="4"/>
    </row>
    <row r="563" spans="1:5" ht="33.75">
      <c r="A563" s="1" t="s">
        <v>1097</v>
      </c>
      <c r="B563" s="1" t="s">
        <v>1098</v>
      </c>
      <c r="C563" s="4"/>
      <c r="D563" s="4"/>
      <c r="E563" s="4"/>
    </row>
    <row r="564" spans="1:5" ht="33.75">
      <c r="A564" s="1" t="s">
        <v>1099</v>
      </c>
      <c r="B564" s="1" t="s">
        <v>1100</v>
      </c>
      <c r="C564" s="4"/>
      <c r="D564" s="4"/>
      <c r="E564" s="4"/>
    </row>
    <row r="565" spans="1:5" ht="33.75">
      <c r="A565" s="1" t="s">
        <v>1101</v>
      </c>
      <c r="B565" s="1" t="s">
        <v>1102</v>
      </c>
      <c r="C565" s="4"/>
      <c r="D565" s="4"/>
      <c r="E565" s="4"/>
    </row>
    <row r="566" spans="1:5" ht="33.75">
      <c r="A566" s="1" t="s">
        <v>1103</v>
      </c>
      <c r="B566" s="1" t="s">
        <v>1104</v>
      </c>
      <c r="C566" s="4"/>
      <c r="D566" s="4"/>
      <c r="E566" s="4"/>
    </row>
    <row r="567" spans="1:5" ht="33.75">
      <c r="A567" s="1" t="s">
        <v>1105</v>
      </c>
      <c r="B567" s="1" t="s">
        <v>1106</v>
      </c>
      <c r="C567" s="4"/>
      <c r="D567" s="4"/>
      <c r="E567" s="4"/>
    </row>
    <row r="568" spans="1:5" ht="33.75">
      <c r="A568" s="1" t="s">
        <v>1107</v>
      </c>
      <c r="B568" s="1" t="s">
        <v>1108</v>
      </c>
      <c r="C568" s="4"/>
      <c r="D568" s="4"/>
      <c r="E568" s="4"/>
    </row>
    <row r="569" spans="1:5" ht="33.75">
      <c r="A569" s="1" t="s">
        <v>1109</v>
      </c>
      <c r="B569" s="1" t="s">
        <v>1110</v>
      </c>
      <c r="C569" s="4"/>
      <c r="D569" s="4"/>
      <c r="E569" s="4"/>
    </row>
    <row r="570" spans="1:5" ht="33.75">
      <c r="A570" s="1" t="s">
        <v>1111</v>
      </c>
      <c r="B570" s="1" t="s">
        <v>1112</v>
      </c>
      <c r="C570" s="4"/>
      <c r="D570" s="4"/>
      <c r="E570" s="4"/>
    </row>
    <row r="571" spans="1:5" ht="33.75">
      <c r="A571" s="1" t="s">
        <v>1113</v>
      </c>
      <c r="B571" s="1" t="s">
        <v>1114</v>
      </c>
      <c r="C571" s="4"/>
      <c r="D571" s="4"/>
      <c r="E571" s="4"/>
    </row>
    <row r="572" spans="1:5" ht="33.75">
      <c r="A572" s="1" t="s">
        <v>1115</v>
      </c>
      <c r="B572" s="1" t="s">
        <v>1116</v>
      </c>
      <c r="C572" s="4"/>
      <c r="D572" s="4"/>
      <c r="E572" s="4"/>
    </row>
    <row r="573" spans="1:5" ht="33.75">
      <c r="A573" s="1" t="s">
        <v>1117</v>
      </c>
      <c r="B573" s="1" t="s">
        <v>1118</v>
      </c>
      <c r="C573" s="4"/>
      <c r="D573" s="4"/>
      <c r="E573" s="4"/>
    </row>
    <row r="574" spans="1:5" ht="33.75">
      <c r="A574" s="1" t="s">
        <v>1119</v>
      </c>
      <c r="B574" s="1" t="s">
        <v>1120</v>
      </c>
      <c r="C574" s="4"/>
      <c r="D574" s="4"/>
      <c r="E574" s="4"/>
    </row>
    <row r="575" spans="1:5" ht="33.75">
      <c r="A575" s="1" t="s">
        <v>1121</v>
      </c>
      <c r="B575" s="1" t="s">
        <v>1122</v>
      </c>
      <c r="C575" s="4"/>
      <c r="D575" s="4"/>
      <c r="E575" s="4"/>
    </row>
    <row r="576" spans="1:5" ht="33.75">
      <c r="A576" s="1" t="s">
        <v>1123</v>
      </c>
      <c r="B576" s="1" t="s">
        <v>1124</v>
      </c>
      <c r="C576" s="4"/>
      <c r="D576" s="4"/>
      <c r="E576" s="4"/>
    </row>
    <row r="577" spans="1:6" ht="33.75">
      <c r="A577" s="1" t="s">
        <v>1125</v>
      </c>
      <c r="B577" s="1" t="s">
        <v>1126</v>
      </c>
      <c r="C577" s="4"/>
      <c r="D577" s="4"/>
      <c r="E577" s="4"/>
    </row>
    <row r="578" spans="1:6" ht="33.75">
      <c r="A578" s="1" t="s">
        <v>1127</v>
      </c>
      <c r="B578" s="1" t="s">
        <v>1128</v>
      </c>
      <c r="C578" s="4"/>
      <c r="D578" s="4"/>
      <c r="E578" s="4"/>
    </row>
    <row r="579" spans="1:6" ht="33.75">
      <c r="A579" s="1" t="s">
        <v>1129</v>
      </c>
      <c r="B579" s="1" t="s">
        <v>1130</v>
      </c>
      <c r="C579" s="4"/>
      <c r="D579" s="4"/>
      <c r="E579" s="4"/>
    </row>
    <row r="580" spans="1:6" ht="33.75">
      <c r="A580" s="1" t="s">
        <v>1131</v>
      </c>
      <c r="B580" s="1" t="s">
        <v>1132</v>
      </c>
      <c r="C580" s="4"/>
      <c r="D580" s="4"/>
      <c r="E580" s="4"/>
    </row>
    <row r="581" spans="1:6" ht="33.75">
      <c r="A581" s="1" t="s">
        <v>1133</v>
      </c>
      <c r="B581" s="1" t="s">
        <v>1134</v>
      </c>
      <c r="C581" s="4"/>
      <c r="D581" s="4"/>
      <c r="E581" s="4"/>
    </row>
    <row r="582" spans="1:6" ht="33.75">
      <c r="A582" s="1" t="s">
        <v>1135</v>
      </c>
      <c r="B582" s="1" t="s">
        <v>1136</v>
      </c>
      <c r="C582" s="4"/>
      <c r="D582" s="4"/>
      <c r="E582" s="4"/>
    </row>
    <row r="583" spans="1:6" ht="33.75">
      <c r="A583" s="1" t="s">
        <v>1137</v>
      </c>
      <c r="B583" s="1" t="s">
        <v>1138</v>
      </c>
      <c r="C583" s="4"/>
      <c r="D583" s="4"/>
      <c r="E583" s="4"/>
    </row>
    <row r="584" spans="1:6" ht="33.75">
      <c r="A584" s="1" t="s">
        <v>1139</v>
      </c>
      <c r="B584" s="1" t="s">
        <v>1140</v>
      </c>
      <c r="C584" s="4"/>
      <c r="D584" s="4"/>
      <c r="E584" s="4"/>
    </row>
    <row r="585" spans="1:6" ht="33.75">
      <c r="A585" s="1" t="s">
        <v>1141</v>
      </c>
      <c r="B585" s="1" t="s">
        <v>1142</v>
      </c>
      <c r="C585" s="4"/>
      <c r="D585" s="4"/>
      <c r="E585" s="4"/>
    </row>
    <row r="586" spans="1:6" ht="33.75">
      <c r="A586" s="1" t="s">
        <v>1143</v>
      </c>
      <c r="B586" s="1" t="s">
        <v>1144</v>
      </c>
      <c r="C586" s="4"/>
      <c r="D586" s="4"/>
      <c r="E586" s="4"/>
    </row>
    <row r="587" spans="1:6" ht="33.75">
      <c r="A587" s="1" t="s">
        <v>1145</v>
      </c>
      <c r="B587" s="1" t="s">
        <v>1146</v>
      </c>
      <c r="C587" s="4"/>
      <c r="D587" s="4"/>
      <c r="E587" s="4"/>
      <c r="F587" t="s">
        <v>1335</v>
      </c>
    </row>
    <row r="588" spans="1:6" ht="33.75">
      <c r="A588" s="1" t="s">
        <v>1147</v>
      </c>
      <c r="B588" s="1" t="s">
        <v>1148</v>
      </c>
      <c r="C588" s="4"/>
      <c r="D588" s="4"/>
      <c r="E588" s="4"/>
    </row>
    <row r="589" spans="1:6" ht="33.75">
      <c r="A589" s="1" t="s">
        <v>1149</v>
      </c>
      <c r="B589" s="1" t="s">
        <v>1150</v>
      </c>
      <c r="C589" s="4"/>
      <c r="D589" s="4"/>
      <c r="E589" s="4"/>
    </row>
    <row r="590" spans="1:6" ht="33.75">
      <c r="A590" s="1" t="s">
        <v>1151</v>
      </c>
      <c r="B590" s="1" t="s">
        <v>1152</v>
      </c>
      <c r="C590" s="4"/>
      <c r="D590" s="4"/>
      <c r="E590" s="4"/>
    </row>
    <row r="591" spans="1:6" ht="33.75">
      <c r="A591" s="1" t="s">
        <v>1153</v>
      </c>
      <c r="B591" s="1" t="s">
        <v>1154</v>
      </c>
      <c r="C591" s="4"/>
      <c r="D591" s="4"/>
      <c r="E591" s="4"/>
    </row>
    <row r="592" spans="1:6" ht="33.75">
      <c r="A592" s="1" t="s">
        <v>1155</v>
      </c>
      <c r="B592" s="1" t="s">
        <v>1156</v>
      </c>
      <c r="C592" s="4"/>
      <c r="D592" s="4"/>
      <c r="E592" s="4"/>
    </row>
    <row r="593" spans="1:5" ht="33.75">
      <c r="A593" s="1" t="s">
        <v>1157</v>
      </c>
      <c r="B593" s="1" t="s">
        <v>1158</v>
      </c>
      <c r="C593" s="4"/>
      <c r="D593" s="4"/>
      <c r="E593" s="4"/>
    </row>
    <row r="594" spans="1:5" ht="33.75">
      <c r="A594" s="1" t="s">
        <v>1159</v>
      </c>
      <c r="B594" s="1" t="s">
        <v>1160</v>
      </c>
      <c r="C594" s="4"/>
      <c r="D594" s="4"/>
      <c r="E594" s="4"/>
    </row>
    <row r="595" spans="1:5" ht="33.75">
      <c r="A595" s="1" t="s">
        <v>1161</v>
      </c>
      <c r="B595" s="1" t="s">
        <v>1162</v>
      </c>
      <c r="C595" s="4"/>
      <c r="D595" s="4"/>
      <c r="E595" s="4"/>
    </row>
    <row r="596" spans="1:5" ht="33.75">
      <c r="A596" s="1" t="s">
        <v>1163</v>
      </c>
      <c r="B596" s="1" t="s">
        <v>1164</v>
      </c>
      <c r="C596" s="4"/>
      <c r="D596" s="4"/>
      <c r="E596" s="4"/>
    </row>
    <row r="597" spans="1:5" ht="33.75">
      <c r="A597" s="1" t="s">
        <v>1165</v>
      </c>
      <c r="B597" s="1" t="s">
        <v>1166</v>
      </c>
      <c r="C597" s="4"/>
      <c r="D597" s="4"/>
      <c r="E597" s="4"/>
    </row>
    <row r="598" spans="1:5" ht="33.75">
      <c r="A598" s="1" t="s">
        <v>1167</v>
      </c>
      <c r="B598" s="1" t="s">
        <v>1168</v>
      </c>
      <c r="C598" s="4">
        <v>392</v>
      </c>
      <c r="D598" s="4" t="s">
        <v>1333</v>
      </c>
      <c r="E598" s="4">
        <v>2</v>
      </c>
    </row>
    <row r="599" spans="1:5" ht="33.75">
      <c r="A599" s="1" t="s">
        <v>1169</v>
      </c>
      <c r="B599" s="1" t="s">
        <v>1170</v>
      </c>
      <c r="C599" s="4"/>
      <c r="D599" s="4"/>
      <c r="E599" s="4"/>
    </row>
    <row r="600" spans="1:5" ht="33.75">
      <c r="A600" s="1" t="s">
        <v>1171</v>
      </c>
      <c r="B600" s="1" t="s">
        <v>1172</v>
      </c>
      <c r="C600" s="4"/>
      <c r="D600" s="4"/>
      <c r="E600" s="4"/>
    </row>
    <row r="601" spans="1:5" ht="33.75">
      <c r="A601" s="1" t="s">
        <v>1173</v>
      </c>
      <c r="B601" s="1" t="s">
        <v>1174</v>
      </c>
      <c r="C601" s="4"/>
      <c r="D601" s="4"/>
      <c r="E601" s="4"/>
    </row>
    <row r="602" spans="1:5" ht="33.75">
      <c r="A602" s="1" t="s">
        <v>1175</v>
      </c>
      <c r="B602" s="1" t="s">
        <v>1176</v>
      </c>
      <c r="C602" s="4"/>
      <c r="D602" s="4"/>
      <c r="E602" s="4"/>
    </row>
    <row r="603" spans="1:5" ht="33.75">
      <c r="A603" s="1" t="s">
        <v>1177</v>
      </c>
      <c r="B603" s="1" t="s">
        <v>1178</v>
      </c>
      <c r="C603" s="4"/>
      <c r="D603" s="4"/>
      <c r="E603" s="4"/>
    </row>
    <row r="604" spans="1:5" ht="33.75">
      <c r="A604" s="1" t="s">
        <v>1179</v>
      </c>
      <c r="B604" s="1" t="s">
        <v>1180</v>
      </c>
      <c r="C604" s="4"/>
      <c r="D604" s="4"/>
      <c r="E604" s="4"/>
    </row>
    <row r="605" spans="1:5" ht="33.75">
      <c r="A605" s="1" t="s">
        <v>1181</v>
      </c>
      <c r="B605" s="1" t="s">
        <v>1182</v>
      </c>
      <c r="C605" s="4"/>
      <c r="D605" s="4"/>
      <c r="E605" s="4"/>
    </row>
    <row r="606" spans="1:5" ht="33.75">
      <c r="A606" s="1" t="e">
        <v>#N/A</v>
      </c>
      <c r="B606" s="1" t="s">
        <v>1183</v>
      </c>
      <c r="C606" s="4"/>
      <c r="D606" s="4"/>
      <c r="E606" s="4"/>
    </row>
    <row r="607" spans="1:5" ht="33.75">
      <c r="A607" s="1" t="s">
        <v>1184</v>
      </c>
      <c r="B607" s="1" t="s">
        <v>1185</v>
      </c>
      <c r="C607" s="4"/>
      <c r="D607" s="4"/>
      <c r="E607" s="4"/>
    </row>
    <row r="608" spans="1:5" ht="33.75">
      <c r="A608" s="1" t="s">
        <v>1186</v>
      </c>
      <c r="B608" s="1" t="s">
        <v>1187</v>
      </c>
      <c r="C608" s="4"/>
      <c r="D608" s="4"/>
      <c r="E608" s="4"/>
    </row>
    <row r="609" spans="1:8" ht="33.75">
      <c r="A609" s="1" t="s">
        <v>1188</v>
      </c>
      <c r="B609" s="1" t="s">
        <v>1189</v>
      </c>
      <c r="C609" s="4">
        <v>6</v>
      </c>
      <c r="D609" s="4" t="s">
        <v>1338</v>
      </c>
      <c r="E609" s="4">
        <v>1</v>
      </c>
    </row>
    <row r="610" spans="1:8" ht="33.75">
      <c r="A610" s="1" t="s">
        <v>1190</v>
      </c>
      <c r="B610" s="1" t="s">
        <v>1191</v>
      </c>
      <c r="C610" s="4">
        <v>0</v>
      </c>
      <c r="D610" s="4"/>
      <c r="E610" s="4"/>
      <c r="H610" s="8" t="s">
        <v>1332</v>
      </c>
    </row>
    <row r="611" spans="1:8" ht="33.75">
      <c r="A611" s="1" t="s">
        <v>1192</v>
      </c>
      <c r="B611" s="1" t="s">
        <v>1193</v>
      </c>
      <c r="C611" s="4">
        <v>5</v>
      </c>
      <c r="D611" s="4" t="s">
        <v>1338</v>
      </c>
      <c r="E611" s="4">
        <v>1</v>
      </c>
    </row>
    <row r="612" spans="1:8" ht="33.75">
      <c r="A612" s="1" t="s">
        <v>1194</v>
      </c>
      <c r="B612" s="1" t="s">
        <v>1195</v>
      </c>
      <c r="C612" s="4">
        <v>18</v>
      </c>
      <c r="D612" s="4" t="s">
        <v>1338</v>
      </c>
      <c r="E612" s="4">
        <v>1</v>
      </c>
    </row>
    <row r="613" spans="1:8" ht="33.75">
      <c r="A613" s="1" t="s">
        <v>1196</v>
      </c>
      <c r="B613" s="1" t="s">
        <v>1197</v>
      </c>
      <c r="C613" s="4">
        <v>4</v>
      </c>
      <c r="D613" s="4" t="s">
        <v>1338</v>
      </c>
      <c r="E613" s="4">
        <v>1</v>
      </c>
    </row>
    <row r="614" spans="1:8" ht="33.75">
      <c r="A614" s="1" t="s">
        <v>1198</v>
      </c>
      <c r="B614" s="1" t="s">
        <v>1199</v>
      </c>
      <c r="C614" s="4">
        <v>4</v>
      </c>
      <c r="D614" s="4" t="s">
        <v>1338</v>
      </c>
      <c r="E614" s="4">
        <v>1</v>
      </c>
    </row>
    <row r="615" spans="1:8" ht="33.75">
      <c r="A615" s="1" t="s">
        <v>1200</v>
      </c>
      <c r="B615" s="1" t="s">
        <v>1201</v>
      </c>
      <c r="C615" s="4">
        <f>10+9+1</f>
        <v>20</v>
      </c>
      <c r="D615" s="4" t="s">
        <v>1338</v>
      </c>
      <c r="E615" s="4">
        <v>1</v>
      </c>
    </row>
    <row r="616" spans="1:8" ht="33.75">
      <c r="A616" s="1" t="s">
        <v>1202</v>
      </c>
      <c r="B616" s="1" t="s">
        <v>1203</v>
      </c>
      <c r="C616" s="4"/>
      <c r="D616" s="4"/>
      <c r="E616" s="4"/>
    </row>
    <row r="617" spans="1:8" ht="33.75">
      <c r="A617" s="1" t="s">
        <v>1204</v>
      </c>
      <c r="B617" s="1" t="s">
        <v>1205</v>
      </c>
      <c r="C617" s="4"/>
      <c r="D617" s="4"/>
      <c r="E617" s="4"/>
    </row>
    <row r="618" spans="1:8" ht="33.75">
      <c r="A618" s="1" t="s">
        <v>1206</v>
      </c>
      <c r="B618" s="1" t="s">
        <v>1207</v>
      </c>
      <c r="C618" s="4"/>
      <c r="D618" s="4"/>
      <c r="E618" s="4"/>
    </row>
    <row r="619" spans="1:8" ht="33.75">
      <c r="A619" s="1" t="s">
        <v>1208</v>
      </c>
      <c r="B619" s="1" t="s">
        <v>1209</v>
      </c>
      <c r="C619" s="4"/>
      <c r="D619" s="4"/>
      <c r="E619" s="4"/>
    </row>
    <row r="620" spans="1:8" ht="33.75">
      <c r="A620" s="1" t="s">
        <v>1210</v>
      </c>
      <c r="B620" s="1" t="s">
        <v>1211</v>
      </c>
      <c r="C620" s="4"/>
      <c r="D620" s="4"/>
      <c r="E620" s="4"/>
    </row>
    <row r="621" spans="1:8" ht="33.75">
      <c r="A621" s="1" t="s">
        <v>1212</v>
      </c>
      <c r="B621" s="1" t="s">
        <v>1213</v>
      </c>
      <c r="C621" s="4"/>
      <c r="D621" s="4"/>
      <c r="E621" s="4"/>
    </row>
    <row r="622" spans="1:8" ht="33.75">
      <c r="A622" s="1" t="s">
        <v>1214</v>
      </c>
      <c r="B622" s="1" t="s">
        <v>1215</v>
      </c>
      <c r="C622" s="4"/>
      <c r="D622" s="4"/>
      <c r="E622" s="4"/>
    </row>
    <row r="623" spans="1:8" ht="33.75">
      <c r="A623" s="1" t="s">
        <v>1216</v>
      </c>
      <c r="B623" s="1" t="s">
        <v>1217</v>
      </c>
      <c r="C623" s="4"/>
      <c r="D623" s="4"/>
      <c r="E623" s="4"/>
    </row>
    <row r="624" spans="1:8" ht="33.75">
      <c r="A624" s="1" t="s">
        <v>1218</v>
      </c>
      <c r="B624" s="1" t="s">
        <v>1219</v>
      </c>
      <c r="C624" s="4"/>
      <c r="D624" s="4"/>
      <c r="E624" s="4"/>
    </row>
    <row r="625" spans="1:6" ht="33.75">
      <c r="A625" s="1" t="s">
        <v>1220</v>
      </c>
      <c r="B625" s="1" t="s">
        <v>1221</v>
      </c>
      <c r="C625" s="4"/>
      <c r="D625" s="4"/>
      <c r="E625" s="4"/>
    </row>
    <row r="626" spans="1:6" ht="33.75">
      <c r="A626" s="1" t="s">
        <v>1222</v>
      </c>
      <c r="B626" s="1" t="s">
        <v>1223</v>
      </c>
      <c r="C626" s="4"/>
      <c r="D626" s="4"/>
      <c r="E626" s="4"/>
    </row>
    <row r="627" spans="1:6" ht="33.75">
      <c r="A627" s="1" t="s">
        <v>1224</v>
      </c>
      <c r="B627" s="1" t="s">
        <v>1225</v>
      </c>
      <c r="C627" s="4"/>
      <c r="D627" s="4"/>
      <c r="E627" s="4"/>
    </row>
    <row r="628" spans="1:6" ht="33.75">
      <c r="A628" s="1" t="s">
        <v>1226</v>
      </c>
      <c r="B628" s="1" t="s">
        <v>1227</v>
      </c>
      <c r="C628" s="4">
        <v>12</v>
      </c>
      <c r="D628" s="4" t="s">
        <v>1338</v>
      </c>
      <c r="E628" s="4">
        <v>1</v>
      </c>
    </row>
    <row r="629" spans="1:6" ht="33.75">
      <c r="A629" s="1" t="s">
        <v>1228</v>
      </c>
      <c r="B629" s="1" t="s">
        <v>1229</v>
      </c>
      <c r="C629" s="4">
        <v>10</v>
      </c>
      <c r="D629" s="4" t="s">
        <v>1338</v>
      </c>
      <c r="E629" s="4">
        <v>1</v>
      </c>
    </row>
    <row r="630" spans="1:6" ht="33.75">
      <c r="A630" s="1" t="s">
        <v>1230</v>
      </c>
      <c r="B630" s="1" t="s">
        <v>1231</v>
      </c>
      <c r="C630" s="4"/>
      <c r="D630" s="4"/>
      <c r="E630" s="4"/>
    </row>
    <row r="631" spans="1:6" ht="33.75">
      <c r="A631" s="1" t="s">
        <v>1232</v>
      </c>
      <c r="B631" s="1" t="s">
        <v>1233</v>
      </c>
      <c r="C631" s="4"/>
      <c r="D631" s="4"/>
      <c r="E631" s="4"/>
    </row>
    <row r="632" spans="1:6" ht="33.75">
      <c r="A632" s="1" t="s">
        <v>1234</v>
      </c>
      <c r="B632" s="1" t="s">
        <v>1235</v>
      </c>
      <c r="C632" s="4"/>
      <c r="D632" s="4"/>
      <c r="E632" s="4"/>
    </row>
    <row r="633" spans="1:6" ht="33.75">
      <c r="A633" s="1" t="s">
        <v>1236</v>
      </c>
      <c r="B633" s="1" t="s">
        <v>1237</v>
      </c>
      <c r="C633" s="4">
        <v>268</v>
      </c>
      <c r="D633" s="4" t="s">
        <v>1331</v>
      </c>
      <c r="E633" s="4">
        <v>4</v>
      </c>
      <c r="F633" s="7" t="s">
        <v>1332</v>
      </c>
    </row>
    <row r="634" spans="1:6" ht="33.75">
      <c r="A634" s="1" t="s">
        <v>1238</v>
      </c>
      <c r="B634" s="1" t="s">
        <v>1239</v>
      </c>
      <c r="C634" s="4"/>
      <c r="D634" s="4"/>
      <c r="E634" s="4"/>
    </row>
    <row r="635" spans="1:6" ht="33.75">
      <c r="A635" s="1" t="s">
        <v>1240</v>
      </c>
      <c r="B635" s="1" t="s">
        <v>1241</v>
      </c>
      <c r="C635" s="4"/>
      <c r="D635" s="4"/>
      <c r="E635" s="4"/>
    </row>
    <row r="636" spans="1:6" ht="33.75">
      <c r="A636" s="1" t="s">
        <v>1242</v>
      </c>
      <c r="B636" s="1" t="s">
        <v>1243</v>
      </c>
      <c r="C636" s="4"/>
      <c r="D636" s="4"/>
      <c r="E636" s="4"/>
    </row>
    <row r="637" spans="1:6" ht="33.75">
      <c r="A637" s="1" t="s">
        <v>1244</v>
      </c>
      <c r="B637" s="1" t="s">
        <v>1245</v>
      </c>
      <c r="C637" s="4"/>
      <c r="D637" s="4"/>
      <c r="E637" s="4"/>
    </row>
    <row r="638" spans="1:6" ht="33.75">
      <c r="A638" s="1" t="s">
        <v>1246</v>
      </c>
      <c r="B638" s="1" t="s">
        <v>1247</v>
      </c>
      <c r="C638" s="4"/>
      <c r="D638" s="4"/>
      <c r="E638" s="4"/>
    </row>
    <row r="639" spans="1:6" ht="33.75">
      <c r="A639" s="1" t="s">
        <v>1248</v>
      </c>
      <c r="B639" s="1" t="s">
        <v>1249</v>
      </c>
      <c r="C639" s="4"/>
      <c r="D639" s="4"/>
      <c r="E639" s="4"/>
    </row>
    <row r="640" spans="1:6" ht="33.75">
      <c r="A640" s="1" t="s">
        <v>1250</v>
      </c>
      <c r="B640" s="1" t="s">
        <v>1251</v>
      </c>
      <c r="C640" s="4"/>
      <c r="D640" s="4"/>
      <c r="E640" s="4"/>
    </row>
    <row r="641" spans="1:5" ht="33.75">
      <c r="A641" s="1" t="s">
        <v>1252</v>
      </c>
      <c r="B641" s="1" t="s">
        <v>1253</v>
      </c>
      <c r="C641" s="4"/>
      <c r="D641" s="4"/>
      <c r="E641" s="4"/>
    </row>
    <row r="642" spans="1:5" ht="33.75">
      <c r="A642" s="1" t="s">
        <v>1254</v>
      </c>
      <c r="B642" s="1" t="s">
        <v>1255</v>
      </c>
      <c r="C642" s="4"/>
      <c r="D642" s="4"/>
      <c r="E642" s="4"/>
    </row>
    <row r="643" spans="1:5" ht="33.75">
      <c r="A643" s="1" t="s">
        <v>1256</v>
      </c>
      <c r="B643" s="1" t="s">
        <v>1257</v>
      </c>
      <c r="C643" s="4"/>
      <c r="D643" s="4"/>
      <c r="E643" s="4"/>
    </row>
    <row r="644" spans="1:5" ht="33.75">
      <c r="A644" s="1" t="s">
        <v>1258</v>
      </c>
      <c r="B644" s="1" t="s">
        <v>1259</v>
      </c>
      <c r="C644" s="4"/>
      <c r="D644" s="4"/>
      <c r="E644" s="4"/>
    </row>
    <row r="645" spans="1:5" ht="33.75">
      <c r="A645" s="1" t="s">
        <v>1260</v>
      </c>
      <c r="B645" s="1" t="s">
        <v>1261</v>
      </c>
      <c r="C645" s="4"/>
      <c r="D645" s="4"/>
      <c r="E645" s="4"/>
    </row>
    <row r="646" spans="1:5" ht="33.75">
      <c r="A646" s="1" t="s">
        <v>1262</v>
      </c>
      <c r="B646" s="1" t="s">
        <v>1263</v>
      </c>
      <c r="C646" s="4"/>
      <c r="D646" s="4"/>
      <c r="E646" s="4"/>
    </row>
    <row r="647" spans="1:5" ht="33.75">
      <c r="A647" s="1" t="s">
        <v>1264</v>
      </c>
      <c r="B647" s="1" t="s">
        <v>1265</v>
      </c>
      <c r="C647" s="4"/>
      <c r="D647" s="4"/>
      <c r="E647" s="4"/>
    </row>
    <row r="648" spans="1:5" ht="33.75">
      <c r="A648" s="1" t="s">
        <v>1266</v>
      </c>
      <c r="B648" s="1" t="s">
        <v>1267</v>
      </c>
      <c r="C648" s="4"/>
      <c r="D648" s="4"/>
      <c r="E648" s="4"/>
    </row>
    <row r="649" spans="1:5" ht="33.75">
      <c r="A649" s="1" t="s">
        <v>1268</v>
      </c>
      <c r="B649" s="1" t="s">
        <v>1269</v>
      </c>
      <c r="C649" s="4"/>
      <c r="D649" s="4"/>
      <c r="E649" s="4"/>
    </row>
    <row r="650" spans="1:5" ht="33.75">
      <c r="A650" s="1" t="s">
        <v>1270</v>
      </c>
      <c r="B650" s="1" t="s">
        <v>1271</v>
      </c>
      <c r="C650" s="4"/>
      <c r="D650" s="4"/>
      <c r="E650" s="4"/>
    </row>
    <row r="651" spans="1:5" ht="33.75">
      <c r="A651" s="1" t="s">
        <v>1272</v>
      </c>
      <c r="B651" s="1" t="s">
        <v>1273</v>
      </c>
      <c r="C651" s="4"/>
      <c r="D651" s="4"/>
      <c r="E651" s="4"/>
    </row>
    <row r="652" spans="1:5" ht="33.75">
      <c r="A652" s="1" t="s">
        <v>1274</v>
      </c>
      <c r="B652" s="1" t="s">
        <v>1275</v>
      </c>
      <c r="C652" s="4"/>
      <c r="D652" s="4"/>
      <c r="E652" s="4"/>
    </row>
    <row r="653" spans="1:5" ht="33.75">
      <c r="A653" s="1" t="s">
        <v>1276</v>
      </c>
      <c r="B653" s="1" t="s">
        <v>1277</v>
      </c>
      <c r="C653" s="4"/>
      <c r="D653" s="4"/>
      <c r="E653" s="4"/>
    </row>
    <row r="654" spans="1:5" ht="33.75">
      <c r="A654" s="1" t="s">
        <v>1278</v>
      </c>
      <c r="B654" s="1" t="s">
        <v>1279</v>
      </c>
      <c r="C654" s="4"/>
      <c r="D654" s="4"/>
      <c r="E654" s="4"/>
    </row>
    <row r="655" spans="1:5" ht="33.75">
      <c r="A655" s="1" t="s">
        <v>1280</v>
      </c>
      <c r="B655" s="1" t="s">
        <v>1281</v>
      </c>
      <c r="C655" s="4"/>
      <c r="D655" s="4"/>
      <c r="E655" s="4"/>
    </row>
    <row r="656" spans="1:5" ht="33.75">
      <c r="A656" s="1" t="s">
        <v>1282</v>
      </c>
      <c r="B656" s="1" t="s">
        <v>1283</v>
      </c>
      <c r="C656" s="4"/>
      <c r="D656" s="4"/>
      <c r="E656" s="4"/>
    </row>
    <row r="657" spans="1:5" ht="33.75">
      <c r="A657" s="1" t="s">
        <v>1284</v>
      </c>
      <c r="B657" s="1" t="s">
        <v>1285</v>
      </c>
      <c r="C657" s="4"/>
      <c r="D657" s="4"/>
      <c r="E657" s="4"/>
    </row>
    <row r="658" spans="1:5" ht="33.75">
      <c r="A658" s="1" t="s">
        <v>1286</v>
      </c>
      <c r="B658" s="1" t="s">
        <v>1287</v>
      </c>
      <c r="C658" s="4"/>
      <c r="D658" s="4"/>
      <c r="E658" s="4"/>
    </row>
    <row r="659" spans="1:5" ht="33.75">
      <c r="A659" s="1" t="s">
        <v>1288</v>
      </c>
      <c r="B659" s="1" t="s">
        <v>1289</v>
      </c>
      <c r="C659" s="4"/>
      <c r="D659" s="4"/>
      <c r="E659" s="4"/>
    </row>
    <row r="660" spans="1:5" ht="33.75">
      <c r="A660" s="1" t="s">
        <v>1290</v>
      </c>
      <c r="B660" s="1" t="s">
        <v>1291</v>
      </c>
      <c r="C660" s="4"/>
      <c r="D660" s="4"/>
      <c r="E660" s="4"/>
    </row>
    <row r="661" spans="1:5" ht="33.75">
      <c r="A661" s="1" t="s">
        <v>1292</v>
      </c>
      <c r="B661" s="1" t="s">
        <v>1293</v>
      </c>
      <c r="C661" s="4"/>
      <c r="D661" s="4"/>
      <c r="E661" s="4"/>
    </row>
    <row r="662" spans="1:5" ht="33.75">
      <c r="A662" s="1" t="s">
        <v>1294</v>
      </c>
      <c r="B662" s="1" t="s">
        <v>1295</v>
      </c>
      <c r="C662" s="4"/>
      <c r="D662" s="4"/>
      <c r="E662" s="4"/>
    </row>
    <row r="663" spans="1:5" ht="33.75">
      <c r="A663" s="1" t="s">
        <v>1296</v>
      </c>
      <c r="B663" s="1" t="s">
        <v>1297</v>
      </c>
      <c r="C663" s="4"/>
      <c r="D663" s="4"/>
      <c r="E663" s="4"/>
    </row>
    <row r="664" spans="1:5" ht="33.75">
      <c r="A664" s="1" t="s">
        <v>1298</v>
      </c>
      <c r="B664" s="1" t="s">
        <v>1299</v>
      </c>
      <c r="C664" s="4"/>
      <c r="D664" s="4"/>
      <c r="E664" s="4"/>
    </row>
    <row r="665" spans="1:5" ht="33.75">
      <c r="A665" s="1" t="s">
        <v>1300</v>
      </c>
      <c r="B665" s="1" t="s">
        <v>1301</v>
      </c>
      <c r="C665" s="4"/>
      <c r="D665" s="4"/>
      <c r="E665" s="4"/>
    </row>
    <row r="666" spans="1:5" ht="33.75">
      <c r="A666" s="1" t="s">
        <v>1302</v>
      </c>
      <c r="B666" s="1" t="s">
        <v>1303</v>
      </c>
      <c r="C666" s="4"/>
      <c r="D666" s="4"/>
      <c r="E666" s="4"/>
    </row>
    <row r="667" spans="1:5" ht="33.75">
      <c r="A667" s="1" t="s">
        <v>1304</v>
      </c>
      <c r="B667" s="1" t="s">
        <v>1305</v>
      </c>
      <c r="C667" s="4"/>
      <c r="D667" s="4"/>
      <c r="E667" s="4"/>
    </row>
    <row r="668" spans="1:5" ht="33.75">
      <c r="A668" s="1" t="s">
        <v>681</v>
      </c>
      <c r="B668" s="1" t="s">
        <v>682</v>
      </c>
      <c r="C668" s="4"/>
      <c r="D668" s="4"/>
      <c r="E668" s="4"/>
    </row>
    <row r="669" spans="1:5" ht="33.75">
      <c r="A669" s="1" t="s">
        <v>683</v>
      </c>
      <c r="B669" s="1" t="s">
        <v>684</v>
      </c>
      <c r="C669" s="4"/>
      <c r="D669" s="4"/>
      <c r="E669" s="4"/>
    </row>
    <row r="670" spans="1:5" ht="33.75">
      <c r="A670" s="1" t="s">
        <v>1306</v>
      </c>
      <c r="B670" s="1" t="s">
        <v>1307</v>
      </c>
      <c r="C670" s="4">
        <v>1</v>
      </c>
      <c r="D670" s="4" t="s">
        <v>1337</v>
      </c>
      <c r="E670" s="4">
        <v>2</v>
      </c>
    </row>
    <row r="671" spans="1:5" ht="33.75">
      <c r="A671" s="1" t="s">
        <v>1308</v>
      </c>
      <c r="B671" s="1" t="s">
        <v>1309</v>
      </c>
      <c r="C671" s="4">
        <v>1</v>
      </c>
      <c r="D671" s="4" t="s">
        <v>1337</v>
      </c>
      <c r="E671" s="4">
        <v>2</v>
      </c>
    </row>
    <row r="672" spans="1:5" ht="33.75">
      <c r="A672" s="1" t="s">
        <v>695</v>
      </c>
      <c r="B672" s="1" t="s">
        <v>696</v>
      </c>
      <c r="C672" s="4"/>
      <c r="D672" s="4"/>
      <c r="E672" s="4"/>
    </row>
    <row r="673" spans="1:5" ht="33.75">
      <c r="A673" s="1" t="s">
        <v>703</v>
      </c>
      <c r="B673" s="1" t="s">
        <v>704</v>
      </c>
      <c r="C673" s="4"/>
      <c r="D673" s="4"/>
      <c r="E673" s="4"/>
    </row>
    <row r="674" spans="1:5" ht="33.75">
      <c r="A674" s="1"/>
      <c r="B674" s="1" t="s">
        <v>1310</v>
      </c>
      <c r="C674" s="4"/>
      <c r="D674" s="4"/>
      <c r="E674" s="4"/>
    </row>
    <row r="675" spans="1:5" ht="33.75">
      <c r="A675" s="1"/>
      <c r="B675" s="1" t="s">
        <v>730</v>
      </c>
      <c r="C675" s="4"/>
      <c r="D675" s="4"/>
      <c r="E675" s="4"/>
    </row>
    <row r="676" spans="1:5" ht="33.75">
      <c r="A676" s="1">
        <v>7238</v>
      </c>
      <c r="B676" s="1" t="s">
        <v>1311</v>
      </c>
      <c r="C676" s="4">
        <v>5</v>
      </c>
      <c r="D676" s="4" t="s">
        <v>1334</v>
      </c>
      <c r="E676" s="4">
        <v>2</v>
      </c>
    </row>
    <row r="677" spans="1:5" ht="33.75">
      <c r="A677" s="1"/>
      <c r="B677" s="1" t="s">
        <v>805</v>
      </c>
      <c r="C677" s="4"/>
      <c r="D677" s="4"/>
      <c r="E677" s="4"/>
    </row>
    <row r="678" spans="1:5" ht="33.75">
      <c r="A678" s="1"/>
      <c r="B678" s="1" t="s">
        <v>809</v>
      </c>
      <c r="C678" s="4"/>
      <c r="D678" s="4"/>
      <c r="E678" s="4"/>
    </row>
    <row r="679" spans="1:5" ht="33.75">
      <c r="A679" s="1"/>
      <c r="B679" s="1" t="s">
        <v>820</v>
      </c>
      <c r="C679" s="4"/>
      <c r="D679" s="4"/>
      <c r="E679" s="4"/>
    </row>
    <row r="680" spans="1:5" ht="33.75">
      <c r="A680" s="1"/>
      <c r="B680" s="1" t="s">
        <v>822</v>
      </c>
      <c r="C680" s="4"/>
      <c r="D680" s="4"/>
      <c r="E680" s="4"/>
    </row>
    <row r="681" spans="1:5" ht="33.75">
      <c r="A681" s="1"/>
      <c r="B681" s="1" t="s">
        <v>824</v>
      </c>
      <c r="C681" s="4"/>
      <c r="D681" s="4"/>
      <c r="E681" s="4"/>
    </row>
    <row r="682" spans="1:5" ht="33.75">
      <c r="A682" s="1"/>
      <c r="B682" s="1" t="s">
        <v>1312</v>
      </c>
      <c r="C682" s="4"/>
      <c r="D682" s="4"/>
      <c r="E682" s="4"/>
    </row>
    <row r="683" spans="1:5" ht="33.75">
      <c r="A683" s="1"/>
      <c r="B683" s="1" t="s">
        <v>1313</v>
      </c>
      <c r="C683" s="4"/>
      <c r="D683" s="4"/>
      <c r="E683" s="4"/>
    </row>
    <row r="684" spans="1:5" ht="33.75">
      <c r="A684" s="1"/>
      <c r="B684" s="1" t="s">
        <v>1314</v>
      </c>
      <c r="C684" s="4"/>
      <c r="D684" s="4"/>
      <c r="E684" s="4"/>
    </row>
    <row r="685" spans="1:5" ht="33.75">
      <c r="A685" s="1"/>
      <c r="B685" s="1" t="s">
        <v>1315</v>
      </c>
      <c r="C685" s="4">
        <v>0</v>
      </c>
      <c r="D685" s="4"/>
      <c r="E685" s="4"/>
    </row>
    <row r="686" spans="1:5" ht="33.75">
      <c r="A686" s="1">
        <v>5222</v>
      </c>
      <c r="B686" s="1" t="s">
        <v>1341</v>
      </c>
      <c r="C686" s="4">
        <v>14</v>
      </c>
      <c r="D686" s="4"/>
      <c r="E686" s="4"/>
    </row>
    <row r="687" spans="1:5" ht="33.75">
      <c r="A687" s="1"/>
      <c r="B687" s="1" t="s">
        <v>1316</v>
      </c>
      <c r="C687" s="4"/>
      <c r="D687" s="4"/>
      <c r="E687" s="4"/>
    </row>
    <row r="688" spans="1:5" ht="33.75">
      <c r="A688" s="1"/>
      <c r="B688" s="1" t="s">
        <v>1317</v>
      </c>
      <c r="C688" s="4"/>
      <c r="D688" s="4"/>
      <c r="E688" s="4"/>
    </row>
    <row r="689" spans="1:5" ht="33.75">
      <c r="A689" s="1"/>
      <c r="B689" s="1" t="s">
        <v>895</v>
      </c>
      <c r="C689" s="4"/>
      <c r="D689" s="4"/>
      <c r="E689" s="4"/>
    </row>
    <row r="690" spans="1:5" ht="33.75">
      <c r="A690" s="1"/>
      <c r="B690" s="1" t="s">
        <v>901</v>
      </c>
      <c r="C690" s="4"/>
      <c r="D690" s="4"/>
      <c r="E690" s="4"/>
    </row>
    <row r="691" spans="1:5" ht="33.75">
      <c r="A691" s="1"/>
      <c r="B691" s="1" t="s">
        <v>909</v>
      </c>
      <c r="C691" s="4"/>
      <c r="D691" s="4"/>
      <c r="E691" s="4"/>
    </row>
    <row r="692" spans="1:5" ht="33.75">
      <c r="A692" s="1"/>
      <c r="B692" s="1" t="s">
        <v>911</v>
      </c>
      <c r="C692" s="4"/>
      <c r="D692" s="4"/>
      <c r="E692" s="4"/>
    </row>
    <row r="693" spans="1:5" ht="33.75">
      <c r="A693" s="1"/>
      <c r="B693" s="1" t="s">
        <v>923</v>
      </c>
      <c r="C693" s="4">
        <v>6</v>
      </c>
      <c r="D693" s="4" t="s">
        <v>1337</v>
      </c>
      <c r="E693" s="4">
        <v>2</v>
      </c>
    </row>
    <row r="694" spans="1:5" ht="33.75">
      <c r="A694" s="1"/>
      <c r="B694" s="1" t="s">
        <v>925</v>
      </c>
      <c r="C694" s="4"/>
      <c r="D694" s="4"/>
      <c r="E694" s="4"/>
    </row>
    <row r="695" spans="1:5" ht="33.75">
      <c r="A695" s="1"/>
      <c r="B695" s="1" t="s">
        <v>1318</v>
      </c>
      <c r="C695" s="4"/>
      <c r="D695" s="4"/>
      <c r="E695" s="4"/>
    </row>
    <row r="696" spans="1:5" ht="33.75">
      <c r="A696" s="1"/>
      <c r="B696" s="1" t="s">
        <v>932</v>
      </c>
      <c r="C696" s="4"/>
      <c r="D696" s="4"/>
      <c r="E696" s="4"/>
    </row>
    <row r="697" spans="1:5" ht="33.75">
      <c r="A697" s="1"/>
      <c r="B697" s="1" t="s">
        <v>1319</v>
      </c>
      <c r="C697" s="4"/>
      <c r="D697" s="4"/>
      <c r="E697" s="4"/>
    </row>
    <row r="698" spans="1:5" ht="33.75">
      <c r="A698" s="1"/>
      <c r="B698" s="1" t="s">
        <v>948</v>
      </c>
      <c r="C698" s="4"/>
      <c r="D698" s="4"/>
      <c r="E698" s="4"/>
    </row>
    <row r="699" spans="1:5" ht="33.75">
      <c r="A699" s="1"/>
      <c r="B699" s="1" t="s">
        <v>955</v>
      </c>
      <c r="C699" s="4"/>
      <c r="D699" s="4"/>
      <c r="E699" s="4"/>
    </row>
    <row r="700" spans="1:5" ht="33.75">
      <c r="A700" s="1"/>
      <c r="B700" s="1" t="s">
        <v>1320</v>
      </c>
      <c r="C700" s="4"/>
      <c r="D700" s="4"/>
      <c r="E700" s="4"/>
    </row>
    <row r="701" spans="1:5" ht="33.75">
      <c r="A701" s="1"/>
      <c r="B701" s="1" t="s">
        <v>1321</v>
      </c>
      <c r="C701" s="4"/>
      <c r="D701" s="4"/>
      <c r="E701" s="4"/>
    </row>
    <row r="702" spans="1:5" ht="33.75">
      <c r="A702" s="1"/>
      <c r="B702" s="1" t="s">
        <v>1046</v>
      </c>
      <c r="C702" s="4"/>
      <c r="D702" s="4"/>
      <c r="E702" s="4"/>
    </row>
    <row r="703" spans="1:5" ht="33.75">
      <c r="A703" s="1"/>
      <c r="B703" s="1" t="s">
        <v>1050</v>
      </c>
      <c r="C703" s="4"/>
      <c r="D703" s="4"/>
      <c r="E703" s="4"/>
    </row>
    <row r="704" spans="1:5" ht="33.75">
      <c r="A704" s="1"/>
      <c r="B704" s="1" t="s">
        <v>1054</v>
      </c>
      <c r="C704" s="4"/>
      <c r="D704" s="4"/>
      <c r="E704" s="4"/>
    </row>
    <row r="705" spans="1:5" ht="33.75">
      <c r="A705" s="1"/>
      <c r="B705" s="1" t="s">
        <v>1058</v>
      </c>
      <c r="C705" s="4"/>
      <c r="D705" s="4"/>
      <c r="E705" s="4"/>
    </row>
    <row r="706" spans="1:5" ht="33.75">
      <c r="A706" s="1"/>
      <c r="B706" s="1" t="s">
        <v>1062</v>
      </c>
      <c r="C706" s="4"/>
      <c r="D706" s="4"/>
      <c r="E706" s="4"/>
    </row>
    <row r="707" spans="1:5" ht="33.75">
      <c r="A707" s="1"/>
      <c r="B707" s="1" t="s">
        <v>1322</v>
      </c>
      <c r="C707" s="4"/>
      <c r="D707" s="4"/>
      <c r="E707" s="4"/>
    </row>
    <row r="708" spans="1:5" ht="33.75">
      <c r="A708" s="1"/>
      <c r="B708" s="1" t="s">
        <v>1086</v>
      </c>
      <c r="C708" s="4"/>
      <c r="D708" s="4"/>
      <c r="E708" s="4"/>
    </row>
    <row r="709" spans="1:5" ht="33.75">
      <c r="A709" s="1"/>
      <c r="B709" s="1" t="s">
        <v>1323</v>
      </c>
      <c r="C709" s="4"/>
      <c r="D709" s="4"/>
      <c r="E709" s="4"/>
    </row>
    <row r="710" spans="1:5" ht="33.75">
      <c r="A710" s="1"/>
      <c r="B710" s="1" t="s">
        <v>1094</v>
      </c>
      <c r="C710" s="4"/>
      <c r="D710" s="4"/>
      <c r="E710" s="4"/>
    </row>
    <row r="711" spans="1:5" ht="33.75">
      <c r="A711" s="1"/>
      <c r="B711" s="1" t="s">
        <v>1324</v>
      </c>
      <c r="C711" s="4"/>
      <c r="D711" s="4"/>
      <c r="E711" s="4"/>
    </row>
    <row r="712" spans="1:5" ht="33.75">
      <c r="A712" s="1"/>
      <c r="B712" s="1" t="s">
        <v>1122</v>
      </c>
      <c r="C712" s="4"/>
      <c r="D712" s="4"/>
      <c r="E712" s="4"/>
    </row>
    <row r="713" spans="1:5" ht="33.75">
      <c r="A713" s="1"/>
      <c r="B713" s="1" t="s">
        <v>1140</v>
      </c>
      <c r="C713" s="4"/>
      <c r="D713" s="4"/>
      <c r="E713" s="4"/>
    </row>
    <row r="714" spans="1:5" ht="33.75">
      <c r="A714" s="1">
        <v>33021</v>
      </c>
      <c r="B714" s="1" t="s">
        <v>1325</v>
      </c>
      <c r="C714" s="4"/>
      <c r="D714" s="4"/>
      <c r="E714" s="4"/>
    </row>
    <row r="715" spans="1:5" ht="33.75">
      <c r="A715" s="1"/>
      <c r="B715" s="1" t="s">
        <v>1326</v>
      </c>
      <c r="C715" s="4"/>
      <c r="D715" s="4"/>
      <c r="E715" s="4"/>
    </row>
    <row r="716" spans="1:5" ht="33.75">
      <c r="A716" s="1"/>
      <c r="B716" s="1" t="s">
        <v>1327</v>
      </c>
      <c r="C716" s="4"/>
      <c r="D716" s="4"/>
      <c r="E716" s="4"/>
    </row>
    <row r="717" spans="1:5" ht="33.75">
      <c r="A717" s="1"/>
      <c r="B717" s="1" t="s">
        <v>1158</v>
      </c>
      <c r="C717" s="4"/>
      <c r="D717" s="4"/>
      <c r="E717" s="4"/>
    </row>
    <row r="718" spans="1:5" ht="33.75">
      <c r="A718" s="1"/>
      <c r="B718" s="1" t="s">
        <v>1162</v>
      </c>
      <c r="C718" s="4"/>
      <c r="D718" s="4"/>
      <c r="E718" s="4"/>
    </row>
    <row r="719" spans="1:5" ht="33.75">
      <c r="A719" s="1"/>
      <c r="B719" s="1" t="s">
        <v>1170</v>
      </c>
      <c r="C719" s="4"/>
      <c r="D719" s="4"/>
      <c r="E719" s="4"/>
    </row>
    <row r="720" spans="1:5" ht="33.75">
      <c r="A720" s="1"/>
      <c r="B720" s="1" t="s">
        <v>1215</v>
      </c>
      <c r="C720" s="4"/>
      <c r="D720" s="4"/>
      <c r="E720" s="4"/>
    </row>
    <row r="721" spans="1:5" ht="33.75">
      <c r="A721" s="1"/>
      <c r="B721" s="1" t="s">
        <v>1223</v>
      </c>
      <c r="C721" s="4"/>
      <c r="D721" s="4"/>
      <c r="E721" s="4"/>
    </row>
    <row r="722" spans="1:5" ht="33.75">
      <c r="A722" s="1"/>
      <c r="B722" s="1" t="s">
        <v>1235</v>
      </c>
      <c r="C722" s="4"/>
      <c r="D722" s="4"/>
      <c r="E722" s="4"/>
    </row>
    <row r="723" spans="1:5" ht="33.75">
      <c r="A723" s="1"/>
      <c r="B723" s="1" t="s">
        <v>1239</v>
      </c>
      <c r="C723" s="4"/>
      <c r="D723" s="4"/>
      <c r="E723" s="4"/>
    </row>
    <row r="724" spans="1:5" ht="33.75">
      <c r="A724" s="1"/>
      <c r="B724" s="1" t="s">
        <v>1243</v>
      </c>
      <c r="C724" s="4"/>
      <c r="D724" s="4"/>
      <c r="E724" s="4"/>
    </row>
    <row r="725" spans="1:5" ht="33.75">
      <c r="A725" s="1"/>
      <c r="B725" s="1" t="s">
        <v>1265</v>
      </c>
      <c r="C725" s="4"/>
      <c r="D725" s="4"/>
      <c r="E725" s="4"/>
    </row>
    <row r="726" spans="1:5" ht="33.75">
      <c r="A726" s="1"/>
      <c r="B726" s="1" t="s">
        <v>1328</v>
      </c>
      <c r="C726" s="4"/>
      <c r="D726" s="4"/>
      <c r="E726" s="4"/>
    </row>
    <row r="727" spans="1:5" ht="33.75">
      <c r="A727" s="1"/>
      <c r="B727" s="1" t="s">
        <v>1279</v>
      </c>
      <c r="C727" s="4"/>
      <c r="D727" s="4"/>
      <c r="E727" s="4"/>
    </row>
    <row r="728" spans="1:5" ht="33.75">
      <c r="A728" s="1"/>
      <c r="B728" s="1" t="s">
        <v>1283</v>
      </c>
      <c r="C728" s="4"/>
      <c r="D728" s="4"/>
      <c r="E72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865f42-372f-4005-ad96-982c3e0135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F2A89BFA969439557C6BFDB3E53F8" ma:contentTypeVersion="5" ma:contentTypeDescription="Create a new document." ma:contentTypeScope="" ma:versionID="85deae224af6837b632e6ce80fe3fa7e">
  <xsd:schema xmlns:xsd="http://www.w3.org/2001/XMLSchema" xmlns:xs="http://www.w3.org/2001/XMLSchema" xmlns:p="http://schemas.microsoft.com/office/2006/metadata/properties" xmlns:ns3="49865f42-372f-4005-ad96-982c3e0135fc" targetNamespace="http://schemas.microsoft.com/office/2006/metadata/properties" ma:root="true" ma:fieldsID="6a456d85b906623f04c04bb86f7428c8" ns3:_="">
    <xsd:import namespace="49865f42-372f-4005-ad96-982c3e0135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865f42-372f-4005-ad96-982c3e0135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D7ED3F-A63B-46CF-8D98-D9B3C07DEF56}">
  <ds:schemaRefs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9865f42-372f-4005-ad96-982c3e0135fc"/>
  </ds:schemaRefs>
</ds:datastoreItem>
</file>

<file path=customXml/itemProps2.xml><?xml version="1.0" encoding="utf-8"?>
<ds:datastoreItem xmlns:ds="http://schemas.openxmlformats.org/officeDocument/2006/customXml" ds:itemID="{5561959C-59C4-47BC-89FF-861FCD1C7F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476B7E-1E55-426B-8321-2C5EB4231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865f42-372f-4005-ad96-982c3e0135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Adrian  Nino Martinez</dc:creator>
  <cp:lastModifiedBy>ANDRES</cp:lastModifiedBy>
  <dcterms:created xsi:type="dcterms:W3CDTF">2026-08-25T14:21:00Z</dcterms:created>
  <dcterms:modified xsi:type="dcterms:W3CDTF">2026-09-03T02:59:44Z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73AB6725C8C24664A381F72E1306522C_12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  <property fmtid="{D5CDD505-2E9C-101B-9397-08002B2CF9AE}" pid="5" name="ContentTypeId">
    <vt:lpwstr>0x01010045AF2A89BFA969439557C6BFDB3E53F8</vt:lpwstr>
  </property>
</Properties>
</file>