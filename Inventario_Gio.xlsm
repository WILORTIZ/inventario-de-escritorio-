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15330" windowHeight="6705" tabRatio="600" firstSheet="2" activeTab="7" autoFilterDateGrouping="1"/>
  </bookViews>
  <sheets>
    <sheet xmlns:r="http://schemas.openxmlformats.org/officeDocument/2006/relationships" name="LISTAS_CONFIG" sheetId="1" state="hidden" r:id="rId1"/>
    <sheet xmlns:r="http://schemas.openxmlformats.org/officeDocument/2006/relationships" name="RESUMEN" sheetId="2" state="visible" r:id="rId2"/>
    <sheet xmlns:r="http://schemas.openxmlformats.org/officeDocument/2006/relationships" name="INVENTARIO" sheetId="3" state="visible" r:id="rId3"/>
    <sheet xmlns:r="http://schemas.openxmlformats.org/officeDocument/2006/relationships" name="HISTORIAL_MOVIMIENTOS" sheetId="4" state="visible" r:id="rId4"/>
    <sheet xmlns:r="http://schemas.openxmlformats.org/officeDocument/2006/relationships" name="BODEGAS" sheetId="5" state="hidden" r:id="rId5"/>
    <sheet xmlns:r="http://schemas.openxmlformats.org/officeDocument/2006/relationships" name="CONTROL_VENCIMIENTOS" sheetId="6" state="hidden" r:id="rId6"/>
    <sheet xmlns:r="http://schemas.openxmlformats.org/officeDocument/2006/relationships" name="ITEMS" sheetId="7" state="hidden" r:id="rId7"/>
    <sheet xmlns:r="http://schemas.openxmlformats.org/officeDocument/2006/relationships" name="INICIO" sheetId="8" state="visible" r:id="rId8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\y\y\y\y\-mm\-dd"/>
    <numFmt numFmtId="165" formatCode="#.##0"/>
    <numFmt numFmtId="166" formatCode="yyyy-mm-dd"/>
  </numFmts>
  <fonts count="2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FFFFFF"/>
      <sz val="18"/>
      <scheme val="minor"/>
    </font>
    <font>
      <name val="Calibri"/>
      <family val="2"/>
      <i val="1"/>
      <color rgb="FFFFFFFF"/>
      <sz val="11"/>
      <scheme val="minor"/>
    </font>
    <font>
      <name val="Calibri"/>
      <family val="2"/>
      <b val="1"/>
      <color rgb="FF32510F"/>
      <sz val="11"/>
      <scheme val="minor"/>
    </font>
    <font>
      <name val="Calibri"/>
      <family val="2"/>
      <b val="1"/>
      <color theme="1"/>
      <sz val="8.5"/>
      <scheme val="minor"/>
    </font>
    <font>
      <name val="Calibri"/>
      <family val="2"/>
      <b val="1"/>
      <color rgb="FF1A365D"/>
      <sz val="16"/>
      <scheme val="minor"/>
    </font>
    <font>
      <name val="Calibri"/>
      <family val="2"/>
      <b val="1"/>
      <color rgb="FFC00000"/>
      <sz val="16"/>
      <scheme val="minor"/>
    </font>
    <font>
      <name val="Calibri"/>
      <family val="2"/>
      <b val="1"/>
      <color rgb="FFB7791F"/>
      <sz val="16"/>
      <scheme val="minor"/>
    </font>
    <font>
      <name val="Calibri"/>
      <family val="2"/>
      <b val="1"/>
      <color rgb="FFFFFFFF"/>
      <sz val="15"/>
      <scheme val="minor"/>
    </font>
    <font>
      <name val="Calibri"/>
      <family val="2"/>
      <i val="1"/>
      <color rgb="FF1A365D"/>
      <sz val="9.5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1A365D"/>
      <sz val="15"/>
      <scheme val="minor"/>
    </font>
    <font>
      <name val="Calibri"/>
      <family val="2"/>
      <b val="1"/>
      <color rgb="FF32510F"/>
      <sz val="15"/>
      <scheme val="minor"/>
    </font>
    <font>
      <name val="Calibri"/>
      <family val="2"/>
      <b val="1"/>
      <color rgb="FF65432A"/>
      <sz val="15"/>
      <scheme val="minor"/>
    </font>
    <font>
      <name val="Calibri"/>
      <family val="2"/>
      <b val="1"/>
      <color rgb="FFC1466B"/>
      <sz val="15"/>
      <scheme val="minor"/>
    </font>
    <font>
      <name val="Calibri"/>
      <family val="2"/>
      <b val="1"/>
      <color rgb="FFC00000"/>
      <sz val="15"/>
      <scheme val="minor"/>
    </font>
    <font>
      <name val="Calibri"/>
      <family val="2"/>
      <b val="1"/>
      <color rgb="FFB7791F"/>
      <sz val="15"/>
      <scheme val="minor"/>
    </font>
    <font>
      <name val="Calibri"/>
      <family val="2"/>
      <b val="1"/>
      <color rgb="FFFFFFFF"/>
      <sz val="10.5"/>
      <scheme val="minor"/>
    </font>
    <font>
      <name val="Calibri"/>
      <family val="2"/>
      <b val="1"/>
      <color rgb="FFB7791F"/>
      <sz val="11"/>
      <scheme val="minor"/>
    </font>
    <font>
      <name val="Calibri"/>
      <family val="2"/>
      <b val="1"/>
      <color rgb="FFC00000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1A365D"/>
        <bgColor indexed="64"/>
      </patternFill>
    </fill>
    <fill>
      <patternFill patternType="solid">
        <fgColor rgb="FF65432A"/>
        <bgColor indexed="64"/>
      </patternFill>
    </fill>
    <fill>
      <patternFill patternType="solid">
        <fgColor rgb="FFDDE7D1"/>
        <bgColor indexed="64"/>
      </patternFill>
    </fill>
    <fill>
      <patternFill patternType="solid">
        <fgColor rgb="FFEBF8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E8E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2">
    <xf numFmtId="0" fontId="0" fillId="0" borderId="0" pivotButton="0" quotePrefix="0" xfId="0"/>
    <xf numFmtId="0" fontId="2" fillId="2" borderId="0" pivotButton="0" quotePrefix="0" xfId="0"/>
    <xf numFmtId="0" fontId="4" fillId="0" borderId="0" pivotButton="0" quotePrefix="0" xfId="1"/>
    <xf numFmtId="14" fontId="0" fillId="0" borderId="0" pivotButton="0" quotePrefix="0" xfId="0"/>
    <xf numFmtId="21" fontId="0" fillId="0" borderId="0" pivotButton="0" quotePrefix="0" xfId="0"/>
    <xf numFmtId="0" fontId="1" fillId="0" borderId="0" pivotButton="0" quotePrefix="0" xfId="0"/>
    <xf numFmtId="164" fontId="1" fillId="0" borderId="0" pivotButton="0" quotePrefix="0" xfId="0"/>
    <xf numFmtId="0" fontId="7" fillId="4" borderId="0" applyAlignment="1" pivotButton="0" quotePrefix="0" xfId="0">
      <alignment horizontal="right"/>
    </xf>
    <xf numFmtId="0" fontId="8" fillId="5" borderId="1" applyAlignment="1" pivotButton="0" quotePrefix="0" xfId="0">
      <alignment horizontal="center"/>
    </xf>
    <xf numFmtId="165" fontId="9" fillId="6" borderId="1" applyAlignment="1" pivotButton="0" quotePrefix="0" xfId="0">
      <alignment horizontal="center"/>
    </xf>
    <xf numFmtId="0" fontId="13" fillId="0" borderId="0" pivotButton="0" quotePrefix="0" xfId="0"/>
    <xf numFmtId="0" fontId="4" fillId="0" borderId="0" applyAlignment="1" pivotButton="0" quotePrefix="0" xfId="1">
      <alignment horizontal="right"/>
    </xf>
    <xf numFmtId="0" fontId="14" fillId="5" borderId="1" applyAlignment="1" pivotButton="0" quotePrefix="0" xfId="0">
      <alignment horizontal="center"/>
    </xf>
    <xf numFmtId="165" fontId="19" fillId="6" borderId="1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applyAlignment="1" pivotButton="0" quotePrefix="0" xfId="0">
      <alignment horizontal="center"/>
    </xf>
    <xf numFmtId="0" fontId="2" fillId="3" borderId="7" applyAlignment="1" pivotButton="0" quotePrefix="0" xfId="0">
      <alignment horizontal="center"/>
    </xf>
    <xf numFmtId="0" fontId="0" fillId="0" borderId="4" pivotButton="0" quotePrefix="0" xfId="0"/>
    <xf numFmtId="0" fontId="0" fillId="0" borderId="8" pivotButton="0" quotePrefix="0" xfId="0"/>
    <xf numFmtId="0" fontId="1" fillId="7" borderId="9" pivotButton="0" quotePrefix="0" xfId="0"/>
    <xf numFmtId="165" fontId="0" fillId="0" borderId="0" pivotButton="0" quotePrefix="0" xfId="0"/>
    <xf numFmtId="165" fontId="0" fillId="0" borderId="8" pivotButton="0" quotePrefix="0" xfId="0"/>
    <xf numFmtId="165" fontId="1" fillId="7" borderId="10" pivotButton="0" quotePrefix="0" xfId="0"/>
    <xf numFmtId="165" fontId="1" fillId="7" borderId="11" pivotButton="0" quotePrefix="0" xfId="0"/>
    <xf numFmtId="0" fontId="0" fillId="7" borderId="11" pivotButton="0" quotePrefix="0" xfId="0"/>
    <xf numFmtId="0" fontId="7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0" fillId="0" borderId="9" pivotButton="0" quotePrefix="0" xfId="0"/>
    <xf numFmtId="0" fontId="22" fillId="0" borderId="10" pivotButton="0" quotePrefix="0" xfId="0"/>
    <xf numFmtId="0" fontId="0" fillId="0" borderId="11" pivotButton="0" quotePrefix="0" xfId="0"/>
    <xf numFmtId="165" fontId="0" fillId="0" borderId="10" pivotButton="0" quotePrefix="0" xfId="0"/>
    <xf numFmtId="0" fontId="21" fillId="2" borderId="0" pivotButton="0" quotePrefix="0" xfId="0"/>
    <xf numFmtId="0" fontId="0" fillId="0" borderId="0" pivotButton="0" quotePrefix="0" xfId="0"/>
    <xf numFmtId="0" fontId="21" fillId="2" borderId="6" pivotButton="0" quotePrefix="0" xfId="0"/>
    <xf numFmtId="0" fontId="0" fillId="0" borderId="6" pivotButton="0" quotePrefix="0" xfId="0"/>
    <xf numFmtId="0" fontId="12" fillId="2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4" fillId="5" borderId="2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165" fontId="15" fillId="6" borderId="2" applyAlignment="1" pivotButton="0" quotePrefix="0" xfId="0">
      <alignment horizontal="center"/>
    </xf>
    <xf numFmtId="165" fontId="16" fillId="6" borderId="2" applyAlignment="1" pivotButton="0" quotePrefix="0" xfId="0">
      <alignment horizontal="center"/>
    </xf>
    <xf numFmtId="165" fontId="17" fillId="6" borderId="2" applyAlignment="1" pivotButton="0" quotePrefix="0" xfId="0">
      <alignment horizontal="center"/>
    </xf>
    <xf numFmtId="165" fontId="18" fillId="6" borderId="2" applyAlignment="1" pivotButton="0" quotePrefix="0" xfId="0">
      <alignment horizontal="center"/>
    </xf>
    <xf numFmtId="165" fontId="20" fillId="6" borderId="2" applyAlignment="1" pivotButton="0" quotePrefix="0" xfId="0">
      <alignment horizontal="center"/>
    </xf>
    <xf numFmtId="0" fontId="3" fillId="2" borderId="0" pivotButton="0" quotePrefix="0" xfId="0"/>
    <xf numFmtId="0" fontId="8" fillId="5" borderId="2" applyAlignment="1" pivotButton="0" quotePrefix="0" xfId="0">
      <alignment horizontal="center"/>
    </xf>
    <xf numFmtId="165" fontId="11" fillId="6" borderId="2" applyAlignment="1" pivotButton="0" quotePrefix="0" xfId="0">
      <alignment horizontal="center"/>
    </xf>
    <xf numFmtId="0" fontId="5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/>
    </xf>
    <xf numFmtId="165" fontId="9" fillId="6" borderId="2" applyAlignment="1" pivotButton="0" quotePrefix="0" xfId="0">
      <alignment horizontal="center"/>
    </xf>
    <xf numFmtId="165" fontId="10" fillId="6" borderId="2" applyAlignment="1" pivotButton="0" quotePrefix="0" xfId="0">
      <alignment horizontal="center"/>
    </xf>
    <xf numFmtId="0" fontId="0" fillId="0" borderId="3" pivotButton="0" quotePrefix="0" xfId="0"/>
    <xf numFmtId="165" fontId="15" fillId="6" borderId="1" applyAlignment="1" pivotButton="0" quotePrefix="0" xfId="0">
      <alignment horizontal="center"/>
    </xf>
    <xf numFmtId="165" fontId="16" fillId="6" borderId="1" applyAlignment="1" pivotButton="0" quotePrefix="0" xfId="0">
      <alignment horizontal="center"/>
    </xf>
    <xf numFmtId="165" fontId="17" fillId="6" borderId="1" applyAlignment="1" pivotButton="0" quotePrefix="0" xfId="0">
      <alignment horizontal="center"/>
    </xf>
    <xf numFmtId="165" fontId="18" fillId="6" borderId="1" applyAlignment="1" pivotButton="0" quotePrefix="0" xfId="0">
      <alignment horizontal="center"/>
    </xf>
    <xf numFmtId="165" fontId="20" fillId="6" borderId="1" applyAlignment="1" pivotButton="0" quotePrefix="0" xfId="0">
      <alignment horizontal="center"/>
    </xf>
    <xf numFmtId="166" fontId="0" fillId="0" borderId="0" pivotButton="0" quotePrefix="0" xfId="0"/>
    <xf numFmtId="165" fontId="10" fillId="6" borderId="1" applyAlignment="1" pivotButton="0" quotePrefix="0" xfId="0">
      <alignment horizontal="center"/>
    </xf>
    <xf numFmtId="165" fontId="11" fillId="6" borderId="1" applyAlignment="1" pivotButton="0" quotePrefix="0" xfId="0">
      <alignment horizontal="center"/>
    </xf>
  </cellXfs>
  <cellStyles count="2">
    <cellStyle name="Normal" xfId="0" builtinId="0"/>
    <cellStyle name="Hipervínculo" xfId="1" builtinId="8"/>
  </cellStyles>
  <dxfs count="12">
    <dxf>
      <numFmt numFmtId="19" formatCode="dd/mm/yyyy"/>
    </dxf>
    <dxf>
      <numFmt numFmtId="19" formatCode="dd/mm/yyyy"/>
    </dxf>
    <dxf>
      <font>
        <name val="Calibri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indexed="64"/>
          <bgColor rgb="FF1A365D"/>
        </patternFill>
      </fill>
    </dxf>
    <dxf>
      <numFmt numFmtId="19" formatCode="dd/mm/yyyy"/>
    </dxf>
    <dxf>
      <numFmt numFmtId="19" formatCode="dd/mm/yyyy"/>
    </dxf>
    <dxf>
      <font>
        <name val="Calibri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indexed="64"/>
          <bgColor rgb="FF1A365D"/>
        </patternFill>
      </fill>
    </dxf>
    <dxf>
      <font>
        <name val="Calibri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indexed="64"/>
          <bgColor rgb="FF1A365D"/>
        </patternFill>
      </fill>
    </dxf>
    <dxf>
      <numFmt numFmtId="26" formatCode="h:mm:ss"/>
    </dxf>
    <dxf>
      <numFmt numFmtId="19" formatCode="dd/mm/yyyy"/>
    </dxf>
    <dxf>
      <font>
        <name val="Calibri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indexed="64"/>
          <bgColor rgb="FF1A365D"/>
        </patternFill>
      </fill>
    </dxf>
    <dxf>
      <numFmt numFmtId="19" formatCode="dd/mm/yyyy"/>
    </dxf>
    <dxf>
      <font>
        <name val="Calibri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indexed="64"/>
          <bgColor rgb="FF1A365D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tables/table1.xml><?xml version="1.0" encoding="utf-8"?>
<table xmlns="http://schemas.openxmlformats.org/spreadsheetml/2006/main" id="1" name="TablaInventario" displayName="TablaInventario" ref="A3:P726" headerRowCount="1" totalsRowShown="0" headerRowDxfId="11">
  <autoFilter ref="A3:P726"/>
  <tableColumns count="16">
    <tableColumn id="1" name="Codigo"/>
    <tableColumn id="2" name="Item"/>
    <tableColumn id="3" name="Categoria"/>
    <tableColumn id="4" name="Unidad"/>
    <tableColumn id="5" name="Bodega"/>
    <tableColumn id="6" name="Entradas"/>
    <tableColumn id="7" name="Devoluciones"/>
    <tableColumn id="8" name="Entregas Recibidas"/>
    <tableColumn id="9" name="Entregas Enviadas"/>
    <tableColumn id="10" name="Disposicion Final (Salidas)"/>
    <tableColumn id="11" name="Ajustes (+)"/>
    <tableColumn id="12" name="Ajustes (-)"/>
    <tableColumn id="13" name="Existencia Actual">
      <calculatedColumnFormula>F4+G4+H4+K4-I4-J4-L4</calculatedColumnFormula>
    </tableColumn>
    <tableColumn id="14" name="Fecha de Vencimiento" dataDxfId="10"/>
    <tableColumn id="15" name="Stock Minimo"/>
    <tableColumn id="16" name="Estado de Stock">
      <calculatedColumnFormula>IF(M4&lt;0, "ERROR: SOBREGIRO", IF(M4=0, "SIN EXISTENCIAS", IF(M4&lt;=O4, "STOCK BAJO", "STOCK NORMAL")))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Movimientos" displayName="TablaMovimientos" ref="A3:Q152" headerRowCount="1" totalsRowShown="0" headerRowDxfId="9">
  <autoFilter ref="A3:Q152"/>
  <tableColumns count="17">
    <tableColumn id="1" name="N Movimiento"/>
    <tableColumn id="2" name="Fecha" dataDxfId="8"/>
    <tableColumn id="3" name="Hora" dataDxfId="7"/>
    <tableColumn id="4" name="Tipo de Movimiento"/>
    <tableColumn id="5" name="Codigo del Item"/>
    <tableColumn id="6" name="Nombre del Item"/>
    <tableColumn id="7" name="Cantidad"/>
    <tableColumn id="8" name="Unidad"/>
    <tableColumn id="9" name="Bodega Origen"/>
    <tableColumn id="10" name="Bodega Destino"/>
    <tableColumn id="11" name="Causal / Condicion"/>
    <tableColumn id="12" name="Ubicacion (Bod. Central)"/>
    <tableColumn id="13" name="Proyecto / Destino Final"/>
    <tableColumn id="14" name="Responsable"/>
    <tableColumn id="15" name="Persona que Recibe / Devuelve"/>
    <tableColumn id="16" name="Documento / Referencia"/>
    <tableColumn id="17" name="Observacion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Bodegas" displayName="TablaBodegas" ref="A3:F9" headerRowCount="1" totalsRowShown="0" headerRowDxfId="6">
  <autoFilter ref="A3:F9"/>
  <tableColumns count="6">
    <tableColumn id="1" name="Codigo de Bodega"/>
    <tableColumn id="2" name="Nombre de Bodega"/>
    <tableColumn id="3" name="Ubicacion"/>
    <tableColumn id="4" name="Responsable"/>
    <tableColumn id="5" name="Estado"/>
    <tableColumn id="6" name="Observacion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ControlVencimientos" displayName="TablaControlVencimientos" ref="A3:I4" headerRowCount="1" insertRow="1" totalsRowShown="0" headerRowDxfId="5">
  <autoFilter ref="A3:I4"/>
  <tableColumns count="9">
    <tableColumn id="1" name="Codigo del Item"/>
    <tableColumn id="2" name="Nombre del Item"/>
    <tableColumn id="3" name="Bodega"/>
    <tableColumn id="4" name="Fecha Ingreso" dataDxfId="4"/>
    <tableColumn id="5" name="Fecha Vencimiento" dataDxfId="3"/>
    <tableColumn id="6" name="Cant. Inicial"/>
    <tableColumn id="7" name="Cant. Disponible"/>
    <tableColumn id="8" name="Estado"/>
    <tableColumn id="9" name="Observacion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Items" displayName="TablaItems" ref="A3:M726" headerRowCount="1" totalsRowShown="0" headerRowDxfId="2">
  <autoFilter ref="A3:M726"/>
  <tableColumns count="13">
    <tableColumn id="1" name="Codigo"/>
    <tableColumn id="2" name="Nombre del Item"/>
    <tableColumn id="3" name="Categoria"/>
    <tableColumn id="4" name="Subcategoria"/>
    <tableColumn id="5" name="Unidad de Medida"/>
    <tableColumn id="6" name="Marca"/>
    <tableColumn id="7" name="Referencia"/>
    <tableColumn id="8" name="Ubicacion (Bod. Central)"/>
    <tableColumn id="9" name="Fecha de Vencimiento" dataDxfId="1"/>
    <tableColumn id="10" name="Stock Minimo"/>
    <tableColumn id="11" name="Estado"/>
    <tableColumn id="12" name="Observaciones"/>
    <tableColumn id="13" name="Fecha de Regi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H18"/>
  <sheetViews>
    <sheetView workbookViewId="0">
      <selection activeCell="A1" sqref="A1"/>
    </sheetView>
  </sheetViews>
  <sheetFormatPr baseColWidth="10" defaultRowHeight="15"/>
  <cols>
    <col width="22.5703125" bestFit="1" customWidth="1" style="33" min="1" max="1"/>
    <col width="20.85546875" bestFit="1" customWidth="1" style="33" min="2" max="2"/>
    <col width="22" bestFit="1" customWidth="1" style="33" min="3" max="3"/>
    <col width="12.85546875" bestFit="1" customWidth="1" style="33" min="4" max="4"/>
    <col width="16.140625" bestFit="1" customWidth="1" style="33" min="5" max="5"/>
    <col width="22.5703125" bestFit="1" customWidth="1" style="33" min="6" max="6"/>
    <col width="29.85546875" bestFit="1" customWidth="1" style="33" min="7" max="7"/>
    <col width="27.28515625" bestFit="1" customWidth="1" style="33" min="8" max="8"/>
  </cols>
  <sheetData>
    <row r="1">
      <c r="A1" s="1" t="inlineStr">
        <is>
          <t>CATEGORIAS</t>
        </is>
      </c>
      <c r="B1" s="1" t="inlineStr">
        <is>
          <t>UNIDADES DE MEDIDA</t>
        </is>
      </c>
      <c r="C1" s="1" t="inlineStr">
        <is>
          <t>TIPOS DE MOVIMIENTO</t>
        </is>
      </c>
      <c r="D1" s="1" t="inlineStr">
        <is>
          <t>ESTADO ITEM</t>
        </is>
      </c>
      <c r="E1" s="1" t="inlineStr">
        <is>
          <t>ESTADO BODEGA</t>
        </is>
      </c>
      <c r="F1" s="1" t="inlineStr">
        <is>
          <t>PROYECTOS / DESTINOS</t>
        </is>
      </c>
      <c r="G1" s="1" t="inlineStr">
        <is>
          <t>UBICACIONES BODEGA CENTRAL</t>
        </is>
      </c>
      <c r="H1" s="1" t="inlineStr">
        <is>
          <t>CAUSAL DISPOSICION FINAL</t>
        </is>
      </c>
    </row>
    <row r="2">
      <c r="A2" t="inlineStr">
        <is>
          <t>Herramientas</t>
        </is>
      </c>
      <c r="B2" t="inlineStr">
        <is>
          <t>Unidad</t>
        </is>
      </c>
      <c r="C2" t="inlineStr">
        <is>
          <t>ENTREGA</t>
        </is>
      </c>
      <c r="D2" t="inlineStr">
        <is>
          <t>Activo</t>
        </is>
      </c>
      <c r="E2" t="inlineStr">
        <is>
          <t>Activa</t>
        </is>
      </c>
      <c r="F2" t="inlineStr">
        <is>
          <t>Camisas Barbaras</t>
        </is>
      </c>
      <c r="G2" t="inlineStr">
        <is>
          <t>T1</t>
        </is>
      </c>
      <c r="H2" t="inlineStr">
        <is>
          <t>Dañado</t>
        </is>
      </c>
    </row>
    <row r="3">
      <c r="A3" t="inlineStr">
        <is>
          <t>Tornilleria</t>
        </is>
      </c>
      <c r="B3" t="inlineStr">
        <is>
          <t>Caja</t>
        </is>
      </c>
      <c r="C3" t="inlineStr">
        <is>
          <t>DISPOSICION FINAL</t>
        </is>
      </c>
      <c r="D3" t="inlineStr">
        <is>
          <t>Inactivo</t>
        </is>
      </c>
      <c r="E3" t="inlineStr">
        <is>
          <t>Inactiva</t>
        </is>
      </c>
      <c r="F3" t="inlineStr">
        <is>
          <t>Movilidad</t>
        </is>
      </c>
      <c r="G3" t="inlineStr">
        <is>
          <t>T2</t>
        </is>
      </c>
      <c r="H3" t="inlineStr">
        <is>
          <t>Gastado Interno</t>
        </is>
      </c>
    </row>
    <row r="4">
      <c r="A4" t="inlineStr">
        <is>
          <t>Materiales</t>
        </is>
      </c>
      <c r="B4" t="inlineStr">
        <is>
          <t>Paquete</t>
        </is>
      </c>
      <c r="C4" t="inlineStr">
        <is>
          <t>ENTRADA</t>
        </is>
      </c>
      <c r="F4" t="inlineStr">
        <is>
          <t>AOM General</t>
        </is>
      </c>
      <c r="G4" t="inlineStr">
        <is>
          <t>T3</t>
        </is>
      </c>
      <c r="H4" t="inlineStr">
        <is>
          <t>Vencido</t>
        </is>
      </c>
    </row>
    <row r="5">
      <c r="A5" t="inlineStr">
        <is>
          <t>Consumibles</t>
        </is>
      </c>
      <c r="B5" t="inlineStr">
        <is>
          <t>Metro</t>
        </is>
      </c>
      <c r="C5" t="inlineStr">
        <is>
          <t>DEVOLUCION</t>
        </is>
      </c>
      <c r="F5" t="inlineStr">
        <is>
          <t>Infraestructura</t>
        </is>
      </c>
      <c r="G5" t="inlineStr">
        <is>
          <t>T4</t>
        </is>
      </c>
      <c r="H5" t="inlineStr">
        <is>
          <t>Deterioro Operativo / Merma</t>
        </is>
      </c>
    </row>
    <row r="6">
      <c r="A6" t="inlineStr">
        <is>
          <t>Repuestos</t>
        </is>
      </c>
      <c r="B6" t="inlineStr">
        <is>
          <t>Kilogramo</t>
        </is>
      </c>
      <c r="C6" t="inlineStr">
        <is>
          <t>AJUSTE POSITIVO</t>
        </is>
      </c>
      <c r="F6" t="inlineStr">
        <is>
          <t>Mantenimiento General</t>
        </is>
      </c>
      <c r="G6" t="inlineStr">
        <is>
          <t>T5</t>
        </is>
      </c>
      <c r="H6" t="inlineStr">
        <is>
          <t>Inutilizable / Scrap</t>
        </is>
      </c>
    </row>
    <row r="7">
      <c r="A7" t="inlineStr">
        <is>
          <t>Elementos electricos</t>
        </is>
      </c>
      <c r="B7" t="inlineStr">
        <is>
          <t>Litro</t>
        </is>
      </c>
      <c r="C7" t="inlineStr">
        <is>
          <t>AJUSTE NEGATIVO</t>
        </is>
      </c>
      <c r="F7" t="inlineStr">
        <is>
          <t>Operacion Central</t>
        </is>
      </c>
      <c r="G7" t="inlineStr">
        <is>
          <t>A1</t>
        </is>
      </c>
    </row>
    <row r="8">
      <c r="A8" t="inlineStr">
        <is>
          <t>Elementos de seguridad</t>
        </is>
      </c>
      <c r="B8" t="inlineStr">
        <is>
          <t>Rollo</t>
        </is>
      </c>
      <c r="F8" t="inlineStr">
        <is>
          <t>Sin Proyecto / General</t>
        </is>
      </c>
      <c r="G8" t="inlineStr">
        <is>
          <t>A2</t>
        </is>
      </c>
    </row>
    <row r="9">
      <c r="A9" t="inlineStr">
        <is>
          <t>Cableado</t>
        </is>
      </c>
      <c r="B9" t="inlineStr">
        <is>
          <t>Otro</t>
        </is>
      </c>
      <c r="G9" t="inlineStr">
        <is>
          <t>A3</t>
        </is>
      </c>
    </row>
    <row r="10">
      <c r="A10" t="inlineStr">
        <is>
          <t>Otros</t>
        </is>
      </c>
      <c r="G10" t="inlineStr">
        <is>
          <t>B1</t>
        </is>
      </c>
    </row>
    <row r="11">
      <c r="G11" t="inlineStr">
        <is>
          <t>B2</t>
        </is>
      </c>
    </row>
    <row r="12">
      <c r="G12" t="inlineStr">
        <is>
          <t>B3</t>
        </is>
      </c>
    </row>
    <row r="13">
      <c r="G13" t="inlineStr">
        <is>
          <t>C1</t>
        </is>
      </c>
    </row>
    <row r="14">
      <c r="G14" t="inlineStr">
        <is>
          <t>C2</t>
        </is>
      </c>
    </row>
    <row r="15">
      <c r="G15" t="inlineStr">
        <is>
          <t>C3</t>
        </is>
      </c>
    </row>
    <row r="16">
      <c r="G16" t="inlineStr">
        <is>
          <t>D1</t>
        </is>
      </c>
    </row>
    <row r="17">
      <c r="G17" t="inlineStr">
        <is>
          <t>D2</t>
        </is>
      </c>
    </row>
    <row r="18">
      <c r="G18" t="inlineStr">
        <is>
          <t>D3</t>
        </is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K22"/>
  <sheetViews>
    <sheetView workbookViewId="0">
      <selection activeCell="A1" sqref="A1:M1"/>
    </sheetView>
  </sheetViews>
  <sheetFormatPr baseColWidth="10" defaultRowHeight="15"/>
  <cols>
    <col width="24.7109375" customWidth="1" style="33" min="1" max="1"/>
    <col width="14.7109375" customWidth="1" style="33" min="2" max="2"/>
    <col width="16.7109375" customWidth="1" style="33" min="3" max="3"/>
    <col width="18.7109375" customWidth="1" style="33" min="4" max="5"/>
    <col width="16.7109375" customWidth="1" style="33" min="6" max="6"/>
    <col width="4.7109375" customWidth="1" style="33" min="7" max="7"/>
    <col width="28.7109375" customWidth="1" style="33" min="8" max="8"/>
    <col width="16.7109375" customWidth="1" style="33" min="9" max="9"/>
    <col width="18.7109375" customWidth="1" style="33" min="10" max="10"/>
    <col width="26.7109375" customWidth="1" style="33" min="11" max="11"/>
  </cols>
  <sheetData>
    <row r="1" ht="35.1" customHeight="1" s="33">
      <c r="A1" s="36" t="inlineStr">
        <is>
          <t>DASHBOARD Y RESUMEN EJECUTIVO CONSOLIDADO</t>
        </is>
      </c>
    </row>
    <row r="2">
      <c r="A2" s="10" t="inlineStr">
        <is>
          <t>Actualizacion automatica en tiempo real | Metricas de Existencias, Categorias, Bodegas y Vencimientos</t>
        </is>
      </c>
      <c r="K2" s="11" t="inlineStr">
        <is>
          <t>&lt;&lt; Volver a INICIO</t>
        </is>
      </c>
    </row>
    <row r="4" ht="20.1" customHeight="1" s="33">
      <c r="A4" s="12" t="inlineStr">
        <is>
          <t>TOTAL PRODUCTOS EN CATALOGO</t>
        </is>
      </c>
      <c r="B4" s="53" t="n"/>
      <c r="C4" s="12" t="inlineStr">
        <is>
          <t>TOTAL UNIDADES EN STOCK</t>
        </is>
      </c>
      <c r="D4" s="53" t="n"/>
      <c r="E4" s="12" t="inlineStr">
        <is>
          <t>TOTAL ENTRADAS REGISTRADAS</t>
        </is>
      </c>
      <c r="F4" s="53" t="n"/>
      <c r="G4" s="12" t="inlineStr">
        <is>
          <t>TOTAL ENTREGAS OPERATIVAS</t>
        </is>
      </c>
      <c r="H4" s="53" t="n"/>
      <c r="I4" s="12" t="inlineStr">
        <is>
          <t>ITEMS VENCIDOS</t>
        </is>
      </c>
      <c r="J4" s="12" t="inlineStr">
        <is>
          <t>ITEMS EN STOCK BAJO</t>
        </is>
      </c>
      <c r="K4" s="53" t="n"/>
    </row>
    <row r="5" ht="32.1" customHeight="1" s="33">
      <c r="A5" s="54">
        <f>COUNTA(ITEMS!A4:A726)</f>
        <v/>
      </c>
      <c r="B5" s="53" t="n"/>
      <c r="C5" s="55">
        <f>IFERROR(SUMIF(INVENTARIO!E4:E726, "CDS", INVENTARIO!M4:M726), 0)</f>
        <v/>
      </c>
      <c r="D5" s="53" t="n"/>
      <c r="E5" s="56">
        <f>IFERROR(SUMIF(INVENTARIO!E4:E726, "CDS", INVENTARIO!F4:F726), 0)</f>
        <v/>
      </c>
      <c r="F5" s="53" t="n"/>
      <c r="G5" s="57">
        <f>IFERROR(SUMIF(INVENTARIO!E4:E726, "CDS", INVENTARIO!I4:I726), 0)</f>
        <v/>
      </c>
      <c r="H5" s="53" t="n"/>
      <c r="I5" s="13">
        <f>IFERROR(COUNTIFS(CONTROL_VENCIMIENTOS!C4:C2000, "CDS", CONTROL_VENCIMIENTOS!H4:H2000, "¡VENCIDO!", CONTROL_VENCIMIENTOS!G4:G2000, "&gt;0"), 0)</f>
        <v/>
      </c>
      <c r="J5" s="58">
        <f>IFERROR(COUNTIFS(INVENTARIO!E4:E726, "CDS", INVENTARIO!P4:P726, "STOCK BAJO"), 0)</f>
        <v/>
      </c>
      <c r="K5" s="53" t="n"/>
    </row>
    <row r="7" ht="21.95" customHeight="1" s="33">
      <c r="A7" s="32" t="inlineStr">
        <is>
          <t>1. CONSOLIDADO DE INVENTARIO POR CATEGORIA</t>
        </is>
      </c>
      <c r="H7" s="32" t="inlineStr">
        <is>
          <t>2. EXISTENCIAS Y MOVIMIENTOS POR BODEGA</t>
        </is>
      </c>
    </row>
    <row r="8" ht="20.1" customHeight="1" s="33">
      <c r="A8" s="14" t="inlineStr">
        <is>
          <t>Categoria</t>
        </is>
      </c>
      <c r="B8" s="15" t="inlineStr">
        <is>
          <t>N Items</t>
        </is>
      </c>
      <c r="C8" s="15" t="inlineStr">
        <is>
          <t>Total Entradas</t>
        </is>
      </c>
      <c r="D8" s="15" t="inlineStr">
        <is>
          <t>Entregas Enviadas</t>
        </is>
      </c>
      <c r="E8" s="15" t="inlineStr">
        <is>
          <t>Disposicion Final</t>
        </is>
      </c>
      <c r="F8" s="16" t="inlineStr">
        <is>
          <t>Stock Actual</t>
        </is>
      </c>
      <c r="H8" s="14" t="inlineStr">
        <is>
          <t>Bodega</t>
        </is>
      </c>
      <c r="I8" s="15" t="inlineStr">
        <is>
          <t>Items Asignados</t>
        </is>
      </c>
      <c r="J8" s="15" t="inlineStr">
        <is>
          <t>Stock Actual</t>
        </is>
      </c>
      <c r="K8" s="16" t="inlineStr">
        <is>
          <t>Estado Bodega</t>
        </is>
      </c>
    </row>
    <row r="9" ht="18.95" customHeight="1" s="33">
      <c r="A9" s="17" t="inlineStr">
        <is>
          <t>Herramientas</t>
        </is>
      </c>
      <c r="B9" s="20">
        <f>COUNTIF(INVENTARIO!$C$4:$C$1901, "Herramientas")</f>
        <v/>
      </c>
      <c r="C9" s="20">
        <f>SUMIF(INVENTARIO!$C$4:$C$1901, "Herramientas", INVENTARIO!$F$4:$F$1901)</f>
        <v/>
      </c>
      <c r="D9" s="20">
        <f>SUMIF(INVENTARIO!$C$4:$C$1901, "Herramientas", INVENTARIO!$I$4:$I$1901)</f>
        <v/>
      </c>
      <c r="E9" s="20">
        <f>SUMIF(INVENTARIO!$C$4:$C$1901, "Herramientas", INVENTARIO!$J$4:$J$1901)</f>
        <v/>
      </c>
      <c r="F9" s="21">
        <f>SUMIF(INVENTARIO!$C$4:$C$1901, "Herramientas", INVENTARIO!$M$4:$M$1901)</f>
        <v/>
      </c>
      <c r="H9" s="17" t="inlineStr">
        <is>
          <t>CDS</t>
        </is>
      </c>
      <c r="I9" s="20">
        <f>COUNTIF(INVENTARIO!$E$4:$E$1901, "CDS")</f>
        <v/>
      </c>
      <c r="J9" s="20">
        <f>SUMIF(INVENTARIO!$E$4:$E$1901, "CDS", INVENTARIO!$M$4:$M$1901)</f>
        <v/>
      </c>
      <c r="K9" s="18" t="inlineStr">
        <is>
          <t>Activa</t>
        </is>
      </c>
    </row>
    <row r="10" ht="18.95" customHeight="1" s="33">
      <c r="A10" s="17" t="inlineStr">
        <is>
          <t>Tornilleria</t>
        </is>
      </c>
      <c r="B10" s="20">
        <f>COUNTIF(INVENTARIO!$C$4:$C$1901, "Tornilleria")</f>
        <v/>
      </c>
      <c r="C10" s="20">
        <f>SUMIF(INVENTARIO!$C$4:$C$1901, "Tornilleria", INVENTARIO!$F$4:$F$1901)</f>
        <v/>
      </c>
      <c r="D10" s="20">
        <f>SUMIF(INVENTARIO!$C$4:$C$1901, "Tornilleria", INVENTARIO!$I$4:$I$1901)</f>
        <v/>
      </c>
      <c r="E10" s="20">
        <f>SUMIF(INVENTARIO!$C$4:$C$1901, "Tornilleria", INVENTARIO!$J$4:$J$1901)</f>
        <v/>
      </c>
      <c r="F10" s="21">
        <f>SUMIF(INVENTARIO!$C$4:$C$1901, "Tornilleria", INVENTARIO!$M$4:$M$1901)</f>
        <v/>
      </c>
      <c r="H10" s="17" t="inlineStr">
        <is>
          <t>AOM</t>
        </is>
      </c>
      <c r="I10" s="20">
        <f>COUNTIF(INVENTARIO!$E$4:$E$1901, "AOM")</f>
        <v/>
      </c>
      <c r="J10" s="20">
        <f>SUMIF(INVENTARIO!$E$4:$E$1901, "AOM", INVENTARIO!$M$4:$M$1901)</f>
        <v/>
      </c>
      <c r="K10" s="18" t="inlineStr">
        <is>
          <t>Activa</t>
        </is>
      </c>
    </row>
    <row r="11" ht="18.95" customHeight="1" s="33">
      <c r="A11" s="17" t="inlineStr">
        <is>
          <t>Materiales</t>
        </is>
      </c>
      <c r="B11" s="20">
        <f>COUNTIF(INVENTARIO!$C$4:$C$1901, "Materiales")</f>
        <v/>
      </c>
      <c r="C11" s="20">
        <f>SUMIF(INVENTARIO!$C$4:$C$1901, "Materiales", INVENTARIO!$F$4:$F$1901)</f>
        <v/>
      </c>
      <c r="D11" s="20">
        <f>SUMIF(INVENTARIO!$C$4:$C$1901, "Materiales", INVENTARIO!$I$4:$I$1901)</f>
        <v/>
      </c>
      <c r="E11" s="20">
        <f>SUMIF(INVENTARIO!$C$4:$C$1901, "Materiales", INVENTARIO!$J$4:$J$1901)</f>
        <v/>
      </c>
      <c r="F11" s="21">
        <f>SUMIF(INVENTARIO!$C$4:$C$1901, "Materiales", INVENTARIO!$M$4:$M$1901)</f>
        <v/>
      </c>
      <c r="H11" s="17" t="inlineStr">
        <is>
          <t>PROYECTOS</t>
        </is>
      </c>
      <c r="I11" s="20">
        <f>COUNTIF(INVENTARIO!$E$4:$E$1901, "PROYECTOS")</f>
        <v/>
      </c>
      <c r="J11" s="20">
        <f>SUMIF(INVENTARIO!$E$4:$E$1901, "PROYECTOS", INVENTARIO!$M$4:$M$1901)</f>
        <v/>
      </c>
      <c r="K11" s="18" t="inlineStr">
        <is>
          <t>Activa</t>
        </is>
      </c>
    </row>
    <row r="12" ht="18.95" customHeight="1" s="33">
      <c r="A12" s="17" t="inlineStr">
        <is>
          <t>Consumibles</t>
        </is>
      </c>
      <c r="B12" s="20">
        <f>COUNTIF(INVENTARIO!$C$4:$C$1901, "Consumibles")</f>
        <v/>
      </c>
      <c r="C12" s="20">
        <f>SUMIF(INVENTARIO!$C$4:$C$1901, "Consumibles", INVENTARIO!$F$4:$F$1901)</f>
        <v/>
      </c>
      <c r="D12" s="20">
        <f>SUMIF(INVENTARIO!$C$4:$C$1901, "Consumibles", INVENTARIO!$I$4:$I$1901)</f>
        <v/>
      </c>
      <c r="E12" s="20">
        <f>SUMIF(INVENTARIO!$C$4:$C$1901, "Consumibles", INVENTARIO!$J$4:$J$1901)</f>
        <v/>
      </c>
      <c r="F12" s="21">
        <f>SUMIF(INVENTARIO!$C$4:$C$1901, "Consumibles", INVENTARIO!$M$4:$M$1901)</f>
        <v/>
      </c>
      <c r="H12" s="17" t="inlineStr">
        <is>
          <t>MOVILIDAD</t>
        </is>
      </c>
      <c r="I12" s="20">
        <f>COUNTIF(INVENTARIO!$E$4:$E$1901, "MOVILIDAD")</f>
        <v/>
      </c>
      <c r="J12" s="20">
        <f>SUMIF(INVENTARIO!$E$4:$E$1901, "MOVILIDAD", INVENTARIO!$M$4:$M$1901)</f>
        <v/>
      </c>
      <c r="K12" s="18" t="inlineStr">
        <is>
          <t>Activa</t>
        </is>
      </c>
    </row>
    <row r="13" ht="18.95" customHeight="1" s="33">
      <c r="A13" s="17" t="inlineStr">
        <is>
          <t>Repuestos</t>
        </is>
      </c>
      <c r="B13" s="20">
        <f>COUNTIF(INVENTARIO!$C$4:$C$1901, "Repuestos")</f>
        <v/>
      </c>
      <c r="C13" s="20">
        <f>SUMIF(INVENTARIO!$C$4:$C$1901, "Repuestos", INVENTARIO!$F$4:$F$1901)</f>
        <v/>
      </c>
      <c r="D13" s="20">
        <f>SUMIF(INVENTARIO!$C$4:$C$1901, "Repuestos", INVENTARIO!$I$4:$I$1901)</f>
        <v/>
      </c>
      <c r="E13" s="20">
        <f>SUMIF(INVENTARIO!$C$4:$C$1901, "Repuestos", INVENTARIO!$J$4:$J$1901)</f>
        <v/>
      </c>
      <c r="F13" s="21">
        <f>SUMIF(INVENTARIO!$C$4:$C$1901, "Repuestos", INVENTARIO!$M$4:$M$1901)</f>
        <v/>
      </c>
      <c r="H13" s="19" t="inlineStr">
        <is>
          <t>TRASLADOS</t>
        </is>
      </c>
      <c r="I13" s="22">
        <f>COUNTIF(INVENTARIO!$E$4:$E$1901, "TRASLADOS")</f>
        <v/>
      </c>
      <c r="J13" s="22">
        <f>SUMIF(INVENTARIO!$E$4:$E$1901, "TRASLADOS", INVENTARIO!$M$4:$M$1901)</f>
        <v/>
      </c>
      <c r="K13" s="24" t="inlineStr">
        <is>
          <t>Activa</t>
        </is>
      </c>
    </row>
    <row r="14" ht="18.95" customHeight="1" s="33">
      <c r="A14" s="17" t="inlineStr">
        <is>
          <t>Elementos electricos</t>
        </is>
      </c>
      <c r="B14" s="20">
        <f>COUNTIF(INVENTARIO!$C$4:$C$1901, "Elementos electricos")</f>
        <v/>
      </c>
      <c r="C14" s="20">
        <f>SUMIF(INVENTARIO!$C$4:$C$1901, "Elementos electricos", INVENTARIO!$F$4:$F$1901)</f>
        <v/>
      </c>
      <c r="D14" s="20">
        <f>SUMIF(INVENTARIO!$C$4:$C$1901, "Elementos electricos", INVENTARIO!$I$4:$I$1901)</f>
        <v/>
      </c>
      <c r="E14" s="20">
        <f>SUMIF(INVENTARIO!$C$4:$C$1901, "Elementos electricos", INVENTARIO!$J$4:$J$1901)</f>
        <v/>
      </c>
      <c r="F14" s="21">
        <f>SUMIF(INVENTARIO!$C$4:$C$1901, "Elementos electricos", INVENTARIO!$M$4:$M$1901)</f>
        <v/>
      </c>
      <c r="H14" s="17" t="inlineStr">
        <is>
          <t>DISPOSICION FINAL</t>
        </is>
      </c>
      <c r="I14" s="20">
        <f>COUNTIF(INVENTARIO!$E$4:$E$1901, "DISPOSICION FINAL")</f>
        <v/>
      </c>
      <c r="J14" s="20">
        <f>SUMIF(INVENTARIO!$E$4:$E$1901, "DISPOSICION FINAL", INVENTARIO!$M$4:$M$1901)</f>
        <v/>
      </c>
      <c r="K14" s="18" t="inlineStr">
        <is>
          <t>Activa</t>
        </is>
      </c>
    </row>
    <row r="15" ht="18.95" customHeight="1" s="33">
      <c r="A15" s="17" t="inlineStr">
        <is>
          <t>Elementos de seguridad</t>
        </is>
      </c>
      <c r="B15" s="20">
        <f>COUNTIF(INVENTARIO!$C$4:$C$1901, "Elementos de seguridad")</f>
        <v/>
      </c>
      <c r="C15" s="20">
        <f>SUMIF(INVENTARIO!$C$4:$C$1901, "Elementos de seguridad", INVENTARIO!$F$4:$F$1901)</f>
        <v/>
      </c>
      <c r="D15" s="20">
        <f>SUMIF(INVENTARIO!$C$4:$C$1901, "Elementos de seguridad", INVENTARIO!$I$4:$I$1901)</f>
        <v/>
      </c>
      <c r="E15" s="20">
        <f>SUMIF(INVENTARIO!$C$4:$C$1901, "Elementos de seguridad", INVENTARIO!$J$4:$J$1901)</f>
        <v/>
      </c>
      <c r="F15" s="21">
        <f>SUMIF(INVENTARIO!$C$4:$C$1901, "Elementos de seguridad", INVENTARIO!$M$4:$M$1901)</f>
        <v/>
      </c>
      <c r="H15" s="19" t="inlineStr">
        <is>
          <t>TOTAL BODEGAS</t>
        </is>
      </c>
      <c r="I15" s="22">
        <f>SUM(I9:I14)</f>
        <v/>
      </c>
      <c r="J15" s="22">
        <f>SUM(J9:J14)</f>
        <v/>
      </c>
      <c r="K15" s="24" t="n"/>
    </row>
    <row r="16" ht="21.95" customHeight="1" s="33">
      <c r="A16" s="17" t="inlineStr">
        <is>
          <t>Cableado</t>
        </is>
      </c>
      <c r="B16" s="20">
        <f>COUNTIF(INVENTARIO!$C$4:$C$1901, "Cableado")</f>
        <v/>
      </c>
      <c r="C16" s="20">
        <f>SUMIF(INVENTARIO!$C$4:$C$1901, "Cableado", INVENTARIO!$F$4:$F$1901)</f>
        <v/>
      </c>
      <c r="D16" s="20">
        <f>SUMIF(INVENTARIO!$C$4:$C$1901, "Cableado", INVENTARIO!$I$4:$I$1901)</f>
        <v/>
      </c>
      <c r="E16" s="20">
        <f>SUMIF(INVENTARIO!$C$4:$C$1901, "Cableado", INVENTARIO!$J$4:$J$1901)</f>
        <v/>
      </c>
      <c r="F16" s="21">
        <f>SUMIF(INVENTARIO!$C$4:$C$1901, "Cableado", INVENTARIO!$M$4:$M$1901)</f>
        <v/>
      </c>
      <c r="H16" s="34" t="n"/>
      <c r="I16" s="35" t="n"/>
      <c r="J16" s="35" t="n"/>
      <c r="K16" s="35" t="n"/>
    </row>
    <row r="17" ht="18.95" customHeight="1" s="33">
      <c r="A17" s="17" t="inlineStr">
        <is>
          <t>Otros</t>
        </is>
      </c>
      <c r="B17" s="20">
        <f>COUNTIF(INVENTARIO!$C$4:$C$1901, "Otros")</f>
        <v/>
      </c>
      <c r="C17" s="20">
        <f>SUMIF(INVENTARIO!$C$4:$C$1901, "Otros", INVENTARIO!$F$4:$F$1901)</f>
        <v/>
      </c>
      <c r="D17" s="20">
        <f>SUMIF(INVENTARIO!$C$4:$C$1901, "Otros", INVENTARIO!$I$4:$I$1901)</f>
        <v/>
      </c>
      <c r="E17" s="20">
        <f>SUMIF(INVENTARIO!$C$4:$C$1901, "Otros", INVENTARIO!$J$4:$J$1901)</f>
        <v/>
      </c>
      <c r="F17" s="21">
        <f>SUMIF(INVENTARIO!$C$4:$C$1901, "Otros", INVENTARIO!$M$4:$M$1901)</f>
        <v/>
      </c>
      <c r="H17" s="14" t="n"/>
      <c r="I17" s="15" t="n"/>
      <c r="J17" s="15" t="n"/>
      <c r="K17" s="16" t="n"/>
    </row>
    <row r="18" ht="18.95" customHeight="1" s="33">
      <c r="A18" s="19" t="inlineStr">
        <is>
          <t>TOTAL GENERAL</t>
        </is>
      </c>
      <c r="B18" s="22">
        <f>SUM(B9:B17)</f>
        <v/>
      </c>
      <c r="C18" s="22">
        <f>SUM(C9:C17)</f>
        <v/>
      </c>
      <c r="D18" s="22">
        <f>SUM(D9:D17)</f>
        <v/>
      </c>
      <c r="E18" s="22">
        <f>SUM(E9:E17)</f>
        <v/>
      </c>
      <c r="F18" s="23">
        <f>SUM(F9:F17)</f>
        <v/>
      </c>
      <c r="H18" s="17" t="n"/>
      <c r="I18" s="20" t="n"/>
      <c r="J18" s="25" t="n"/>
      <c r="K18" s="18" t="n"/>
    </row>
    <row r="19" ht="18.95" customHeight="1" s="33">
      <c r="H19" s="17" t="inlineStr">
        <is>
          <t>Items con Stock Bajo</t>
        </is>
      </c>
      <c r="I19" s="20">
        <f>COUNTIF(INVENTARIO!$P$4:$P$1901, "STOCK BAJO")</f>
        <v/>
      </c>
      <c r="J19" s="26" t="inlineStr">
        <is>
          <t>ALERTA</t>
        </is>
      </c>
      <c r="K19" s="18" t="inlineStr">
        <is>
          <t>Generar Orden Compra</t>
        </is>
      </c>
    </row>
    <row r="20" ht="18.95" customHeight="1" s="33">
      <c r="H20" s="17" t="inlineStr">
        <is>
          <t>Items Sin Existencias (0)</t>
        </is>
      </c>
      <c r="I20" s="20">
        <f>COUNTIF(INVENTARIO!$P$4:$P$1901, "SIN EXISTENCIAS")</f>
        <v/>
      </c>
      <c r="J20" s="27" t="inlineStr">
        <is>
          <t>CRITICO</t>
        </is>
      </c>
      <c r="K20" s="18" t="inlineStr">
        <is>
          <t>Revisar Abastecimiento</t>
        </is>
      </c>
    </row>
    <row r="21" ht="18.95" customHeight="1" s="33">
      <c r="H21" s="17" t="inlineStr">
        <is>
          <t>Partidas Vencidas</t>
        </is>
      </c>
      <c r="I21" s="20">
        <f>COUNTIF(CONTROL_VENCIMIENTOS!$H$4:$H$1801, "¡VENCIDO!")</f>
        <v/>
      </c>
      <c r="J21" s="27" t="inlineStr">
        <is>
          <t>VENCIDO</t>
        </is>
      </c>
      <c r="K21" s="18" t="inlineStr">
        <is>
          <t>Dar de Baja (Boton Auto)</t>
        </is>
      </c>
    </row>
    <row r="22" ht="18.95" customHeight="1" s="33">
      <c r="H22" s="28" t="inlineStr">
        <is>
          <t>Proximos a Vencer (30 dias)</t>
        </is>
      </c>
      <c r="I22" s="31">
        <f>COUNTIF(CONTROL_VENCIMIENTOS!$H$4:$H$1801, "PROXIMO A VENCER")</f>
        <v/>
      </c>
      <c r="J22" s="29" t="inlineStr">
        <is>
          <t>PREVENCION</t>
        </is>
      </c>
      <c r="K22" s="30" t="inlineStr">
        <is>
          <t>Priorizar Rotacion / Consumo</t>
        </is>
      </c>
    </row>
  </sheetData>
  <mergeCells count="14">
    <mergeCell ref="A4:B4"/>
    <mergeCell ref="G4:H4"/>
    <mergeCell ref="E4:F4"/>
    <mergeCell ref="J4:K4"/>
    <mergeCell ref="J5:K5"/>
    <mergeCell ref="C5:D5"/>
    <mergeCell ref="A5:B5"/>
    <mergeCell ref="G5:H5"/>
    <mergeCell ref="E5:F5"/>
    <mergeCell ref="H16:K16"/>
    <mergeCell ref="H7:K7"/>
    <mergeCell ref="A1:K1"/>
    <mergeCell ref="A7:F7"/>
    <mergeCell ref="C4:D4"/>
  </mergeCells>
  <hyperlinks>
    <hyperlink ref="K2" location="INICIO!A1" display="INICIO!A1"/>
  </hyperlink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Hoja4">
    <outlinePr summaryBelow="1" summaryRight="1"/>
    <pageSetUpPr/>
  </sheetPr>
  <dimension ref="A1:P656"/>
  <sheetViews>
    <sheetView workbookViewId="0">
      <selection activeCell="A1" sqref="A1"/>
    </sheetView>
  </sheetViews>
  <sheetFormatPr baseColWidth="10" defaultRowHeight="15"/>
  <cols>
    <col width="14.7109375" customWidth="1" style="33" min="1" max="1"/>
    <col width="40.7109375" customWidth="1" style="33" min="2" max="2"/>
    <col width="22.7109375" customWidth="1" style="33" min="3" max="3"/>
    <col width="14.7109375" customWidth="1" style="33" min="4" max="4"/>
    <col width="20.7109375" customWidth="1" style="33" min="5" max="5"/>
    <col width="12.7109375" customWidth="1" style="33" min="6" max="6"/>
    <col width="14.7109375" customWidth="1" style="33" min="7" max="7"/>
    <col width="18.7109375" customWidth="1" style="33" min="8" max="9"/>
    <col width="22.7109375" customWidth="1" style="33" min="10" max="10"/>
    <col width="14.7109375" customWidth="1" style="33" min="11" max="12"/>
    <col width="18.7109375" customWidth="1" style="33" min="13" max="13"/>
    <col width="22.7109375" customWidth="1" style="33" min="14" max="14"/>
    <col width="14.7109375" customWidth="1" style="33" min="15" max="15"/>
    <col width="20.7109375" customWidth="1" style="33" min="16" max="16"/>
  </cols>
  <sheetData>
    <row r="1" ht="35.1" customHeight="1" s="33">
      <c r="A1" s="45" t="inlineStr">
        <is>
          <t>CONTROL OFICIAL DE EXISTENCIAS - BODEGA CDS</t>
        </is>
      </c>
    </row>
    <row r="2">
      <c r="A2" s="10" t="inlineStr">
        <is>
          <t>Inventario Principal: Refleja exclusivamente las entradas, entregas y saldo fisico de CDS</t>
        </is>
      </c>
      <c r="P2" s="2" t="inlineStr">
        <is>
          <t>Ir a Inicio</t>
        </is>
      </c>
    </row>
    <row r="3" ht="26.1" customHeight="1" s="33">
      <c r="A3" s="1" t="inlineStr">
        <is>
          <t>Codigo</t>
        </is>
      </c>
      <c r="B3" s="1" t="inlineStr">
        <is>
          <t>Item</t>
        </is>
      </c>
      <c r="C3" s="1" t="inlineStr">
        <is>
          <t>Categoria</t>
        </is>
      </c>
      <c r="D3" s="1" t="inlineStr">
        <is>
          <t>Unidad</t>
        </is>
      </c>
      <c r="E3" s="1" t="inlineStr">
        <is>
          <t>Bodega</t>
        </is>
      </c>
      <c r="F3" s="1" t="inlineStr">
        <is>
          <t>Entradas</t>
        </is>
      </c>
      <c r="G3" s="1" t="inlineStr">
        <is>
          <t>Devoluciones</t>
        </is>
      </c>
      <c r="H3" s="1" t="inlineStr">
        <is>
          <t>Entregas Recibidas</t>
        </is>
      </c>
      <c r="I3" s="1" t="inlineStr">
        <is>
          <t>Entregas Enviadas</t>
        </is>
      </c>
      <c r="J3" s="1" t="inlineStr">
        <is>
          <t>Disposicion Final (Salidas)</t>
        </is>
      </c>
      <c r="K3" s="1" t="inlineStr">
        <is>
          <t>Ajustes (+)</t>
        </is>
      </c>
      <c r="L3" s="1" t="inlineStr">
        <is>
          <t>Ajustes (-)</t>
        </is>
      </c>
      <c r="M3" s="1" t="inlineStr">
        <is>
          <t>Existencia Actual</t>
        </is>
      </c>
      <c r="N3" s="1" t="inlineStr">
        <is>
          <t>Fecha de Vencimiento</t>
        </is>
      </c>
      <c r="O3" s="1" t="inlineStr">
        <is>
          <t>Stock Minimo</t>
        </is>
      </c>
      <c r="P3" s="1" t="inlineStr">
        <is>
          <t>Estado de Stock</t>
        </is>
      </c>
    </row>
    <row r="4">
      <c r="A4" t="n">
        <v>4752</v>
      </c>
      <c r="B4" t="inlineStr">
        <is>
          <t>AMARRE PLASTICO BLANCO 10 CM DEXSON</t>
        </is>
      </c>
      <c r="C4" t="inlineStr">
        <is>
          <t>Materiales</t>
        </is>
      </c>
      <c r="D4" t="inlineStr">
        <is>
          <t>Unidad</t>
        </is>
      </c>
      <c r="E4" t="inlineStr">
        <is>
          <t>CDS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0</v>
      </c>
      <c r="M4">
        <f>F4+G4+H4+K4-I4-J4-L4</f>
        <v/>
      </c>
      <c r="N4" t="inlineStr">
        <is>
          <t>NO APLICA</t>
        </is>
      </c>
      <c r="O4" t="n">
        <v>5</v>
      </c>
      <c r="P4">
        <f>IF(M4&lt;0, "ERROR: SOBREGIRO", IF(M4=0, "SIN EXISTENCIAS", IF(M4&lt;=O4, "STOCK BAJO", "STOCK NORMAL")))</f>
        <v/>
      </c>
    </row>
    <row r="5">
      <c r="A5" t="n">
        <v>4758</v>
      </c>
      <c r="B5" t="inlineStr">
        <is>
          <t>AMARRE PLASTICO NEGRO 10 CM DEXSON</t>
        </is>
      </c>
      <c r="C5" t="inlineStr">
        <is>
          <t>Materiales</t>
        </is>
      </c>
      <c r="D5" t="inlineStr">
        <is>
          <t>Unidad</t>
        </is>
      </c>
      <c r="E5" t="inlineStr">
        <is>
          <t>CDS</t>
        </is>
      </c>
      <c r="F5" t="n">
        <v>0</v>
      </c>
      <c r="G5" t="n">
        <v>0</v>
      </c>
      <c r="H5" t="n">
        <v>0</v>
      </c>
      <c r="I5" t="n">
        <v>0</v>
      </c>
      <c r="J5" t="n">
        <v>0</v>
      </c>
      <c r="K5" t="n">
        <v>0</v>
      </c>
      <c r="L5" t="n">
        <v>0</v>
      </c>
      <c r="M5">
        <f>F5+G5+H5+K5-I5-J5-L5</f>
        <v/>
      </c>
      <c r="N5" t="inlineStr">
        <is>
          <t>NO APLICA</t>
        </is>
      </c>
      <c r="O5" t="n">
        <v>5</v>
      </c>
      <c r="P5">
        <f>IF(M5&lt;0, "ERROR: SOBREGIRO", IF(M5=0, "SIN EXISTENCIAS", IF(M5&lt;=O5, "STOCK BAJO", "STOCK NORMAL")))</f>
        <v/>
      </c>
    </row>
    <row r="6">
      <c r="A6" t="n">
        <v>4759</v>
      </c>
      <c r="B6" t="inlineStr">
        <is>
          <t>AMARRE PLASTICO NEGRO 15 CM DEXSON</t>
        </is>
      </c>
      <c r="C6" t="inlineStr">
        <is>
          <t>Materiales</t>
        </is>
      </c>
      <c r="D6" t="inlineStr">
        <is>
          <t>Unidad</t>
        </is>
      </c>
      <c r="E6" t="inlineStr">
        <is>
          <t>CDS</t>
        </is>
      </c>
      <c r="F6" t="n">
        <v>0</v>
      </c>
      <c r="G6" t="n">
        <v>0</v>
      </c>
      <c r="H6" t="n">
        <v>0</v>
      </c>
      <c r="I6" t="n">
        <v>0</v>
      </c>
      <c r="J6" t="n">
        <v>0</v>
      </c>
      <c r="K6" t="n">
        <v>0</v>
      </c>
      <c r="L6" t="n">
        <v>0</v>
      </c>
      <c r="M6">
        <f>F6+G6+H6+K6-I6-J6-L6</f>
        <v/>
      </c>
      <c r="N6" t="inlineStr">
        <is>
          <t>NO APLICA</t>
        </is>
      </c>
      <c r="O6" t="n">
        <v>5</v>
      </c>
      <c r="P6">
        <f>IF(M6&lt;0, "ERROR: SOBREGIRO", IF(M6=0, "SIN EXISTENCIAS", IF(M6&lt;=O6, "STOCK BAJO", "STOCK NORMAL")))</f>
        <v/>
      </c>
    </row>
    <row r="7">
      <c r="A7" t="n">
        <v>4760</v>
      </c>
      <c r="B7" t="inlineStr">
        <is>
          <t>AMARRE PLASTICO NEGRO 20 CM DEXSON</t>
        </is>
      </c>
      <c r="C7" t="inlineStr">
        <is>
          <t>Materiales</t>
        </is>
      </c>
      <c r="D7" t="inlineStr">
        <is>
          <t>Unidad</t>
        </is>
      </c>
      <c r="E7" t="inlineStr">
        <is>
          <t>CDS</t>
        </is>
      </c>
      <c r="F7" t="n">
        <v>0</v>
      </c>
      <c r="G7" t="n">
        <v>0</v>
      </c>
      <c r="H7" t="n">
        <v>0</v>
      </c>
      <c r="I7" t="n">
        <v>0</v>
      </c>
      <c r="J7" t="n">
        <v>0</v>
      </c>
      <c r="K7" t="n">
        <v>0</v>
      </c>
      <c r="L7" t="n">
        <v>0</v>
      </c>
      <c r="M7">
        <f>F7+G7+H7+K7-I7-J7-L7</f>
        <v/>
      </c>
      <c r="N7" t="inlineStr">
        <is>
          <t>NO APLICA</t>
        </is>
      </c>
      <c r="O7" t="n">
        <v>5</v>
      </c>
      <c r="P7">
        <f>IF(M7&lt;0, "ERROR: SOBREGIRO", IF(M7=0, "SIN EXISTENCIAS", IF(M7&lt;=O7, "STOCK BAJO", "STOCK NORMAL")))</f>
        <v/>
      </c>
    </row>
    <row r="8">
      <c r="A8" t="n">
        <v>4761</v>
      </c>
      <c r="B8" t="inlineStr">
        <is>
          <t>AMARRE PLASTICO NEGRO 25 CM DEXSON</t>
        </is>
      </c>
      <c r="C8" t="inlineStr">
        <is>
          <t>Materiales</t>
        </is>
      </c>
      <c r="D8" t="inlineStr">
        <is>
          <t>Unidad</t>
        </is>
      </c>
      <c r="E8" t="inlineStr">
        <is>
          <t>CDS</t>
        </is>
      </c>
      <c r="F8" t="n">
        <v>0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0</v>
      </c>
      <c r="M8">
        <f>F8+G8+H8+K8-I8-J8-L8</f>
        <v/>
      </c>
      <c r="N8" t="inlineStr">
        <is>
          <t>NO APLICA</t>
        </is>
      </c>
      <c r="O8" t="n">
        <v>5</v>
      </c>
      <c r="P8">
        <f>IF(M8&lt;0, "ERROR: SOBREGIRO", IF(M8=0, "SIN EXISTENCIAS", IF(M8&lt;=O8, "STOCK BAJO", "STOCK NORMAL")))</f>
        <v/>
      </c>
    </row>
    <row r="9">
      <c r="A9" t="n">
        <v>4762</v>
      </c>
      <c r="B9" t="inlineStr">
        <is>
          <t>AMARRE PLASTICO NEGRO 30 CM DEXSON</t>
        </is>
      </c>
      <c r="C9" t="inlineStr">
        <is>
          <t>Materiales</t>
        </is>
      </c>
      <c r="D9" t="inlineStr">
        <is>
          <t>Unidad</t>
        </is>
      </c>
      <c r="E9" t="inlineStr">
        <is>
          <t>CDS</t>
        </is>
      </c>
      <c r="F9" t="n">
        <v>0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 t="n">
        <v>0</v>
      </c>
      <c r="M9">
        <f>F9+G9+H9+K9-I9-J9-L9</f>
        <v/>
      </c>
      <c r="N9" t="inlineStr">
        <is>
          <t>NO APLICA</t>
        </is>
      </c>
      <c r="O9" t="n">
        <v>5</v>
      </c>
      <c r="P9">
        <f>IF(M9&lt;0, "ERROR: SOBREGIRO", IF(M9=0, "SIN EXISTENCIAS", IF(M9&lt;=O9, "STOCK BAJO", "STOCK NORMAL")))</f>
        <v/>
      </c>
    </row>
    <row r="10">
      <c r="A10" t="n">
        <v>4853</v>
      </c>
      <c r="B10" t="inlineStr">
        <is>
          <t>LAMINA NEOPRENO RIGIDO 1/8"</t>
        </is>
      </c>
      <c r="C10" t="inlineStr">
        <is>
          <t>Materiales</t>
        </is>
      </c>
      <c r="D10" t="inlineStr">
        <is>
          <t>Unidad</t>
        </is>
      </c>
      <c r="E10" t="inlineStr">
        <is>
          <t>CDS</t>
        </is>
      </c>
      <c r="F10" t="n">
        <v>0</v>
      </c>
      <c r="G10" t="n">
        <v>0</v>
      </c>
      <c r="H10" t="n">
        <v>0</v>
      </c>
      <c r="I10" t="n">
        <v>0</v>
      </c>
      <c r="J10" t="n">
        <v>0</v>
      </c>
      <c r="K10" t="n">
        <v>0</v>
      </c>
      <c r="L10" t="n">
        <v>0</v>
      </c>
      <c r="M10">
        <f>F10+G10+H10+K10-I10-J10-L10</f>
        <v/>
      </c>
      <c r="N10" t="inlineStr">
        <is>
          <t>NO APLICA</t>
        </is>
      </c>
      <c r="O10" t="n">
        <v>5</v>
      </c>
      <c r="P10">
        <f>IF(M10&lt;0, "ERROR: SOBREGIRO", IF(M10=0, "SIN EXISTENCIAS", IF(M10&lt;=O10, "STOCK BAJO", "STOCK NORMAL")))</f>
        <v/>
      </c>
    </row>
    <row r="11">
      <c r="A11" t="n">
        <v>4857</v>
      </c>
      <c r="B11" t="inlineStr">
        <is>
          <t>CABLE ALUMINIO DESNUDO 4 AWG</t>
        </is>
      </c>
      <c r="C11" t="inlineStr">
        <is>
          <t>Cableado</t>
        </is>
      </c>
      <c r="D11" t="inlineStr">
        <is>
          <t>Metro</t>
        </is>
      </c>
      <c r="E11" t="inlineStr">
        <is>
          <t>CDS</t>
        </is>
      </c>
      <c r="F11" t="n">
        <v>0</v>
      </c>
      <c r="G11" t="n">
        <v>0</v>
      </c>
      <c r="H11" t="n">
        <v>0</v>
      </c>
      <c r="I11" t="n">
        <v>0</v>
      </c>
      <c r="J11" t="n">
        <v>0</v>
      </c>
      <c r="K11" t="n">
        <v>0</v>
      </c>
      <c r="L11" t="n">
        <v>0</v>
      </c>
      <c r="M11">
        <f>F11+G11+H11+K11-I11-J11-L11</f>
        <v/>
      </c>
      <c r="N11" t="inlineStr">
        <is>
          <t>NO APLICA</t>
        </is>
      </c>
      <c r="O11" t="n">
        <v>5</v>
      </c>
      <c r="P11">
        <f>IF(M11&lt;0, "ERROR: SOBREGIRO", IF(M11=0, "SIN EXISTENCIAS", IF(M11&lt;=O11, "STOCK BAJO", "STOCK NORMAL")))</f>
        <v/>
      </c>
    </row>
    <row r="12">
      <c r="A12" t="n">
        <v>4859</v>
      </c>
      <c r="B12" t="inlineStr">
        <is>
          <t>CABLE COBRE AISLADO 7 HILOS AMARILLO 10 AWG</t>
        </is>
      </c>
      <c r="C12" t="inlineStr">
        <is>
          <t>Cableado</t>
        </is>
      </c>
      <c r="D12" t="inlineStr">
        <is>
          <t>Metro</t>
        </is>
      </c>
      <c r="E12" t="inlineStr">
        <is>
          <t>CDS</t>
        </is>
      </c>
      <c r="F12" t="n">
        <v>0</v>
      </c>
      <c r="G12" t="n">
        <v>0</v>
      </c>
      <c r="H12" t="n">
        <v>0</v>
      </c>
      <c r="I12" t="n">
        <v>0</v>
      </c>
      <c r="J12" t="n">
        <v>0</v>
      </c>
      <c r="K12" t="n">
        <v>0</v>
      </c>
      <c r="L12" t="n">
        <v>0</v>
      </c>
      <c r="M12">
        <f>F12+G12+H12+K12-I12-J12-L12</f>
        <v/>
      </c>
      <c r="N12" t="inlineStr">
        <is>
          <t>NO APLICA</t>
        </is>
      </c>
      <c r="O12" t="n">
        <v>5</v>
      </c>
      <c r="P12">
        <f>IF(M12&lt;0, "ERROR: SOBREGIRO", IF(M12=0, "SIN EXISTENCIAS", IF(M12&lt;=O12, "STOCK BAJO", "STOCK NORMAL")))</f>
        <v/>
      </c>
    </row>
    <row r="13">
      <c r="A13" t="n">
        <v>4869</v>
      </c>
      <c r="B13" t="inlineStr">
        <is>
          <t>CABLE COBRE AISLADO 7 HILOS AZUL 10 AWG</t>
        </is>
      </c>
      <c r="C13" t="inlineStr">
        <is>
          <t>Cableado</t>
        </is>
      </c>
      <c r="D13" t="inlineStr">
        <is>
          <t>Metro</t>
        </is>
      </c>
      <c r="E13" t="inlineStr">
        <is>
          <t>CDS</t>
        </is>
      </c>
      <c r="F13" t="n">
        <v>0</v>
      </c>
      <c r="G13" t="n">
        <v>0</v>
      </c>
      <c r="H13" t="n">
        <v>0</v>
      </c>
      <c r="I13" t="n">
        <v>0</v>
      </c>
      <c r="J13" t="n">
        <v>0</v>
      </c>
      <c r="K13" t="n">
        <v>0</v>
      </c>
      <c r="L13" t="n">
        <v>0</v>
      </c>
      <c r="M13">
        <f>F13+G13+H13+K13-I13-J13-L13</f>
        <v/>
      </c>
      <c r="N13" t="inlineStr">
        <is>
          <t>NO APLICA</t>
        </is>
      </c>
      <c r="O13" t="n">
        <v>5</v>
      </c>
      <c r="P13">
        <f>IF(M13&lt;0, "ERROR: SOBREGIRO", IF(M13=0, "SIN EXISTENCIAS", IF(M13&lt;=O13, "STOCK BAJO", "STOCK NORMAL")))</f>
        <v/>
      </c>
    </row>
    <row r="14">
      <c r="A14" t="n">
        <v>4877</v>
      </c>
      <c r="B14" t="inlineStr">
        <is>
          <t>CABLE COBRE AISLADO 7 HILOS AZUL 8 AWG</t>
        </is>
      </c>
      <c r="C14" t="inlineStr">
        <is>
          <t>Cableado</t>
        </is>
      </c>
      <c r="D14" t="inlineStr">
        <is>
          <t>Metro</t>
        </is>
      </c>
      <c r="E14" t="inlineStr">
        <is>
          <t>CDS</t>
        </is>
      </c>
      <c r="F14" t="n">
        <v>0</v>
      </c>
      <c r="G14" t="n">
        <v>0</v>
      </c>
      <c r="H14" t="n">
        <v>0</v>
      </c>
      <c r="I14" t="n">
        <v>0</v>
      </c>
      <c r="J14" t="n">
        <v>0</v>
      </c>
      <c r="K14" t="n">
        <v>0</v>
      </c>
      <c r="L14" t="n">
        <v>0</v>
      </c>
      <c r="M14">
        <f>F14+G14+H14+K14-I14-J14-L14</f>
        <v/>
      </c>
      <c r="N14" t="inlineStr">
        <is>
          <t>NO APLICA</t>
        </is>
      </c>
      <c r="O14" t="n">
        <v>5</v>
      </c>
      <c r="P14">
        <f>IF(M14&lt;0, "ERROR: SOBREGIRO", IF(M14=0, "SIN EXISTENCIAS", IF(M14&lt;=O14, "STOCK BAJO", "STOCK NORMAL")))</f>
        <v/>
      </c>
    </row>
    <row r="15">
      <c r="A15" t="n">
        <v>4887</v>
      </c>
      <c r="B15" t="inlineStr">
        <is>
          <t>CABLE COBRE AISLADO 7 HILOS BLANCO 8 AWG</t>
        </is>
      </c>
      <c r="C15" t="inlineStr">
        <is>
          <t>Cableado</t>
        </is>
      </c>
      <c r="D15" t="inlineStr">
        <is>
          <t>Metro</t>
        </is>
      </c>
      <c r="E15" t="inlineStr">
        <is>
          <t>CDS</t>
        </is>
      </c>
      <c r="F15" t="n">
        <v>0</v>
      </c>
      <c r="G15" t="n">
        <v>0</v>
      </c>
      <c r="H15" t="n">
        <v>0</v>
      </c>
      <c r="I15" t="n">
        <v>0</v>
      </c>
      <c r="J15" t="n">
        <v>0</v>
      </c>
      <c r="K15" t="n">
        <v>0</v>
      </c>
      <c r="L15" t="n">
        <v>0</v>
      </c>
      <c r="M15">
        <f>F15+G15+H15+K15-I15-J15-L15</f>
        <v/>
      </c>
      <c r="N15" t="inlineStr">
        <is>
          <t>NO APLICA</t>
        </is>
      </c>
      <c r="O15" t="n">
        <v>5</v>
      </c>
      <c r="P15">
        <f>IF(M15&lt;0, "ERROR: SOBREGIRO", IF(M15=0, "SIN EXISTENCIAS", IF(M15&lt;=O15, "STOCK BAJO", "STOCK NORMAL")))</f>
        <v/>
      </c>
    </row>
    <row r="16">
      <c r="A16" t="n">
        <v>4889</v>
      </c>
      <c r="B16" t="inlineStr">
        <is>
          <t>CABLE COBRE AISLADO 7 HILOS NEGRO 1/0 AWG</t>
        </is>
      </c>
      <c r="C16" t="inlineStr">
        <is>
          <t>Cableado</t>
        </is>
      </c>
      <c r="D16" t="inlineStr">
        <is>
          <t>Metro</t>
        </is>
      </c>
      <c r="E16" t="inlineStr">
        <is>
          <t>CDS</t>
        </is>
      </c>
      <c r="F16" t="n">
        <v>0</v>
      </c>
      <c r="G16" t="n">
        <v>0</v>
      </c>
      <c r="H16" t="n">
        <v>0</v>
      </c>
      <c r="I16" t="n">
        <v>0</v>
      </c>
      <c r="J16" t="n">
        <v>0</v>
      </c>
      <c r="K16" t="n">
        <v>0</v>
      </c>
      <c r="L16" t="n">
        <v>0</v>
      </c>
      <c r="M16">
        <f>F16+G16+H16+K16-I16-J16-L16</f>
        <v/>
      </c>
      <c r="N16" t="inlineStr">
        <is>
          <t>NO APLICA</t>
        </is>
      </c>
      <c r="O16" t="n">
        <v>5</v>
      </c>
      <c r="P16">
        <f>IF(M16&lt;0, "ERROR: SOBREGIRO", IF(M16=0, "SIN EXISTENCIAS", IF(M16&lt;=O16, "STOCK BAJO", "STOCK NORMAL")))</f>
        <v/>
      </c>
    </row>
    <row r="17">
      <c r="A17" t="n">
        <v>4894</v>
      </c>
      <c r="B17" t="inlineStr">
        <is>
          <t>CABLE COBRE AISLADO 7 HILOS NEGRO 12 AWG HF</t>
        </is>
      </c>
      <c r="C17" t="inlineStr">
        <is>
          <t>Cableado</t>
        </is>
      </c>
      <c r="D17" t="inlineStr">
        <is>
          <t>Metro</t>
        </is>
      </c>
      <c r="E17" t="inlineStr">
        <is>
          <t>CDS</t>
        </is>
      </c>
      <c r="F17" t="n">
        <v>0</v>
      </c>
      <c r="G17" t="n">
        <v>0</v>
      </c>
      <c r="H17" t="n">
        <v>0</v>
      </c>
      <c r="I17" t="n">
        <v>0</v>
      </c>
      <c r="J17" t="n">
        <v>0</v>
      </c>
      <c r="K17" t="n">
        <v>0</v>
      </c>
      <c r="L17" t="n">
        <v>0</v>
      </c>
      <c r="M17">
        <f>F17+G17+H17+K17-I17-J17-L17</f>
        <v/>
      </c>
      <c r="N17" t="inlineStr">
        <is>
          <t>NO APLICA</t>
        </is>
      </c>
      <c r="O17" t="n">
        <v>5</v>
      </c>
      <c r="P17">
        <f>IF(M17&lt;0, "ERROR: SOBREGIRO", IF(M17=0, "SIN EXISTENCIAS", IF(M17&lt;=O17, "STOCK BAJO", "STOCK NORMAL")))</f>
        <v/>
      </c>
    </row>
    <row r="18">
      <c r="A18" t="n">
        <v>4897</v>
      </c>
      <c r="B18" t="inlineStr">
        <is>
          <t>CABLE COBRE AISLADO 7 HILOS NEGRO 2 AWG</t>
        </is>
      </c>
      <c r="C18" t="inlineStr">
        <is>
          <t>Cableado</t>
        </is>
      </c>
      <c r="D18" t="inlineStr">
        <is>
          <t>Metro</t>
        </is>
      </c>
      <c r="E18" t="inlineStr">
        <is>
          <t>CDS</t>
        </is>
      </c>
      <c r="F18" t="n">
        <v>0</v>
      </c>
      <c r="G18" t="n">
        <v>0</v>
      </c>
      <c r="H18" t="n">
        <v>0</v>
      </c>
      <c r="I18" t="n">
        <v>0</v>
      </c>
      <c r="J18" t="n">
        <v>0</v>
      </c>
      <c r="K18" t="n">
        <v>0</v>
      </c>
      <c r="L18" t="n">
        <v>0</v>
      </c>
      <c r="M18">
        <f>F18+G18+H18+K18-I18-J18-L18</f>
        <v/>
      </c>
      <c r="N18" t="inlineStr">
        <is>
          <t>NO APLICA</t>
        </is>
      </c>
      <c r="O18" t="n">
        <v>5</v>
      </c>
      <c r="P18">
        <f>IF(M18&lt;0, "ERROR: SOBREGIRO", IF(M18=0, "SIN EXISTENCIAS", IF(M18&lt;=O18, "STOCK BAJO", "STOCK NORMAL")))</f>
        <v/>
      </c>
    </row>
    <row r="19">
      <c r="A19" t="n">
        <v>4901</v>
      </c>
      <c r="B19" t="inlineStr">
        <is>
          <t>CABLE COBRE AISLADO 7 HILOS NEGRO 4 AWG</t>
        </is>
      </c>
      <c r="C19" t="inlineStr">
        <is>
          <t>Cableado</t>
        </is>
      </c>
      <c r="D19" t="inlineStr">
        <is>
          <t>Metro</t>
        </is>
      </c>
      <c r="E19" t="inlineStr">
        <is>
          <t>CDS</t>
        </is>
      </c>
      <c r="F19" t="n">
        <v>0</v>
      </c>
      <c r="G19" t="n">
        <v>0</v>
      </c>
      <c r="H19" t="n">
        <v>0</v>
      </c>
      <c r="I19" t="n">
        <v>0</v>
      </c>
      <c r="J19" t="n">
        <v>0</v>
      </c>
      <c r="K19" t="n">
        <v>0</v>
      </c>
      <c r="L19" t="n">
        <v>0</v>
      </c>
      <c r="M19">
        <f>F19+G19+H19+K19-I19-J19-L19</f>
        <v/>
      </c>
      <c r="N19" t="inlineStr">
        <is>
          <t>NO APLICA</t>
        </is>
      </c>
      <c r="O19" t="n">
        <v>5</v>
      </c>
      <c r="P19">
        <f>IF(M19&lt;0, "ERROR: SOBREGIRO", IF(M19=0, "SIN EXISTENCIAS", IF(M19&lt;=O19, "STOCK BAJO", "STOCK NORMAL")))</f>
        <v/>
      </c>
    </row>
    <row r="20">
      <c r="A20" t="n">
        <v>4902</v>
      </c>
      <c r="B20" t="inlineStr">
        <is>
          <t>CABLE COBRE AISLADO 7 HILOS NEGRO 4 AWG HF</t>
        </is>
      </c>
      <c r="C20" t="inlineStr">
        <is>
          <t>Cableado</t>
        </is>
      </c>
      <c r="D20" t="inlineStr">
        <is>
          <t>Metro</t>
        </is>
      </c>
      <c r="E20" t="inlineStr">
        <is>
          <t>CDS</t>
        </is>
      </c>
      <c r="F20" t="n">
        <v>0</v>
      </c>
      <c r="G20" t="n">
        <v>0</v>
      </c>
      <c r="H20" t="n">
        <v>0</v>
      </c>
      <c r="I20" t="n">
        <v>0</v>
      </c>
      <c r="J20" t="n">
        <v>0</v>
      </c>
      <c r="K20" t="n">
        <v>0</v>
      </c>
      <c r="L20" t="n">
        <v>0</v>
      </c>
      <c r="M20">
        <f>F20+G20+H20+K20-I20-J20-L20</f>
        <v/>
      </c>
      <c r="N20" t="inlineStr">
        <is>
          <t>NO APLICA</t>
        </is>
      </c>
      <c r="O20" t="n">
        <v>5</v>
      </c>
      <c r="P20">
        <f>IF(M20&lt;0, "ERROR: SOBREGIRO", IF(M20=0, "SIN EXISTENCIAS", IF(M20&lt;=O20, "STOCK BAJO", "STOCK NORMAL")))</f>
        <v/>
      </c>
    </row>
    <row r="21">
      <c r="A21" t="n">
        <v>4905</v>
      </c>
      <c r="B21" t="inlineStr">
        <is>
          <t>CABLE COBRE AISLADO 7 HILOS NEGRO 6 AWG</t>
        </is>
      </c>
      <c r="C21" t="inlineStr">
        <is>
          <t>Cableado</t>
        </is>
      </c>
      <c r="D21" t="inlineStr">
        <is>
          <t>Metro</t>
        </is>
      </c>
      <c r="E21" t="inlineStr">
        <is>
          <t>CDS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>
        <f>F21+G21+H21+K21-I21-J21-L21</f>
        <v/>
      </c>
      <c r="N21" t="inlineStr">
        <is>
          <t>NO APLICA</t>
        </is>
      </c>
      <c r="O21" t="n">
        <v>5</v>
      </c>
      <c r="P21">
        <f>IF(M21&lt;0, "ERROR: SOBREGIRO", IF(M21=0, "SIN EXISTENCIAS", IF(M21&lt;=O21, "STOCK BAJO", "STOCK NORMAL")))</f>
        <v/>
      </c>
    </row>
    <row r="22">
      <c r="A22" t="n">
        <v>4906</v>
      </c>
      <c r="B22" t="inlineStr">
        <is>
          <t>CABLE COBRE AISLADO 7 HILOS NEGRO 6 AWG HF</t>
        </is>
      </c>
      <c r="C22" t="inlineStr">
        <is>
          <t>Cableado</t>
        </is>
      </c>
      <c r="D22" t="inlineStr">
        <is>
          <t>Metro</t>
        </is>
      </c>
      <c r="E22" t="inlineStr">
        <is>
          <t>CDS</t>
        </is>
      </c>
      <c r="F22" t="n">
        <v>0</v>
      </c>
      <c r="G22" t="n">
        <v>0</v>
      </c>
      <c r="H22" t="n">
        <v>0</v>
      </c>
      <c r="I22" t="n">
        <v>0</v>
      </c>
      <c r="J22" t="n">
        <v>0</v>
      </c>
      <c r="K22" t="n">
        <v>0</v>
      </c>
      <c r="L22" t="n">
        <v>0</v>
      </c>
      <c r="M22">
        <f>F22+G22+H22+K22-I22-J22-L22</f>
        <v/>
      </c>
      <c r="N22" t="inlineStr">
        <is>
          <t>NO APLICA</t>
        </is>
      </c>
      <c r="O22" t="n">
        <v>5</v>
      </c>
      <c r="P22">
        <f>IF(M22&lt;0, "ERROR: SOBREGIRO", IF(M22=0, "SIN EXISTENCIAS", IF(M22&lt;=O22, "STOCK BAJO", "STOCK NORMAL")))</f>
        <v/>
      </c>
    </row>
    <row r="23">
      <c r="A23" t="n">
        <v>4907</v>
      </c>
      <c r="B23" t="inlineStr">
        <is>
          <t>CABLE COBRE AISLADO 7 HILOS NEGRO 8 AWG</t>
        </is>
      </c>
      <c r="C23" t="inlineStr">
        <is>
          <t>Cableado</t>
        </is>
      </c>
      <c r="D23" t="inlineStr">
        <is>
          <t>Metro</t>
        </is>
      </c>
      <c r="E23" t="inlineStr">
        <is>
          <t>CDS</t>
        </is>
      </c>
      <c r="F23" t="n">
        <v>0</v>
      </c>
      <c r="G23" t="n">
        <v>0</v>
      </c>
      <c r="H23" t="n">
        <v>0</v>
      </c>
      <c r="I23" t="n">
        <v>0</v>
      </c>
      <c r="J23" t="n">
        <v>0</v>
      </c>
      <c r="K23" t="n">
        <v>0</v>
      </c>
      <c r="L23" t="n">
        <v>0</v>
      </c>
      <c r="M23">
        <f>F23+G23+H23+K23-I23-J23-L23</f>
        <v/>
      </c>
      <c r="N23" t="inlineStr">
        <is>
          <t>NO APLICA</t>
        </is>
      </c>
      <c r="O23" t="n">
        <v>5</v>
      </c>
      <c r="P23">
        <f>IF(M23&lt;0, "ERROR: SOBREGIRO", IF(M23=0, "SIN EXISTENCIAS", IF(M23&lt;=O23, "STOCK BAJO", "STOCK NORMAL")))</f>
        <v/>
      </c>
    </row>
    <row r="24">
      <c r="A24" t="n">
        <v>4908</v>
      </c>
      <c r="B24" t="inlineStr">
        <is>
          <t>CABLE COBRE AISLADO 7 HILOS NEGRO 8 AWG HF</t>
        </is>
      </c>
      <c r="C24" t="inlineStr">
        <is>
          <t>Cableado</t>
        </is>
      </c>
      <c r="D24" t="inlineStr">
        <is>
          <t>Metro</t>
        </is>
      </c>
      <c r="E24" t="inlineStr">
        <is>
          <t>CDS</t>
        </is>
      </c>
      <c r="F24" t="n">
        <v>0</v>
      </c>
      <c r="G24" t="n">
        <v>0</v>
      </c>
      <c r="H24" t="n">
        <v>0</v>
      </c>
      <c r="I24" t="n">
        <v>0</v>
      </c>
      <c r="J24" t="n">
        <v>0</v>
      </c>
      <c r="K24" t="n">
        <v>0</v>
      </c>
      <c r="L24" t="n">
        <v>0</v>
      </c>
      <c r="M24">
        <f>F24+G24+H24+K24-I24-J24-L24</f>
        <v/>
      </c>
      <c r="N24" t="inlineStr">
        <is>
          <t>NO APLICA</t>
        </is>
      </c>
      <c r="O24" t="n">
        <v>5</v>
      </c>
      <c r="P24">
        <f>IF(M24&lt;0, "ERROR: SOBREGIRO", IF(M24=0, "SIN EXISTENCIAS", IF(M24&lt;=O24, "STOCK BAJO", "STOCK NORMAL")))</f>
        <v/>
      </c>
    </row>
    <row r="25">
      <c r="A25" t="n">
        <v>4909</v>
      </c>
      <c r="B25" t="inlineStr">
        <is>
          <t>CABLE COBRE AISLADO 7 HILOS ROJO 10 AWG</t>
        </is>
      </c>
      <c r="C25" t="inlineStr">
        <is>
          <t>Cableado</t>
        </is>
      </c>
      <c r="D25" t="inlineStr">
        <is>
          <t>Metro</t>
        </is>
      </c>
      <c r="E25" t="inlineStr">
        <is>
          <t>CDS</t>
        </is>
      </c>
      <c r="F25" t="n">
        <v>0</v>
      </c>
      <c r="G25" t="n">
        <v>0</v>
      </c>
      <c r="H25" t="n">
        <v>0</v>
      </c>
      <c r="I25" t="n">
        <v>0</v>
      </c>
      <c r="J25" t="n">
        <v>0</v>
      </c>
      <c r="K25" t="n">
        <v>0</v>
      </c>
      <c r="L25" t="n">
        <v>0</v>
      </c>
      <c r="M25">
        <f>F25+G25+H25+K25-I25-J25-L25</f>
        <v/>
      </c>
      <c r="N25" t="inlineStr">
        <is>
          <t>NO APLICA</t>
        </is>
      </c>
      <c r="O25" t="n">
        <v>5</v>
      </c>
      <c r="P25">
        <f>IF(M25&lt;0, "ERROR: SOBREGIRO", IF(M25=0, "SIN EXISTENCIAS", IF(M25&lt;=O25, "STOCK BAJO", "STOCK NORMAL")))</f>
        <v/>
      </c>
    </row>
    <row r="26">
      <c r="A26" t="n">
        <v>4915</v>
      </c>
      <c r="B26" t="inlineStr">
        <is>
          <t>CABLE COBRE AISLADO 7 HILOS ROJO 8 AWG</t>
        </is>
      </c>
      <c r="C26" t="inlineStr">
        <is>
          <t>Cableado</t>
        </is>
      </c>
      <c r="D26" t="inlineStr">
        <is>
          <t>Metro</t>
        </is>
      </c>
      <c r="E26" t="inlineStr">
        <is>
          <t>CDS</t>
        </is>
      </c>
      <c r="F26" t="n">
        <v>0</v>
      </c>
      <c r="G26" t="n">
        <v>0</v>
      </c>
      <c r="H26" t="n">
        <v>0</v>
      </c>
      <c r="I26" t="n">
        <v>0</v>
      </c>
      <c r="J26" t="n">
        <v>0</v>
      </c>
      <c r="K26" t="n">
        <v>0</v>
      </c>
      <c r="L26" t="n">
        <v>0</v>
      </c>
      <c r="M26">
        <f>F26+G26+H26+K26-I26-J26-L26</f>
        <v/>
      </c>
      <c r="N26" t="inlineStr">
        <is>
          <t>NO APLICA</t>
        </is>
      </c>
      <c r="O26" t="n">
        <v>5</v>
      </c>
      <c r="P26">
        <f>IF(M26&lt;0, "ERROR: SOBREGIRO", IF(M26=0, "SIN EXISTENCIAS", IF(M26&lt;=O26, "STOCK BAJO", "STOCK NORMAL")))</f>
        <v/>
      </c>
    </row>
    <row r="27">
      <c r="A27" t="n">
        <v>4918</v>
      </c>
      <c r="B27" t="inlineStr">
        <is>
          <t>CABLE COBRE AISLADO 7 HILOS VERDE 10 AWG HF</t>
        </is>
      </c>
      <c r="C27" t="inlineStr">
        <is>
          <t>Cableado</t>
        </is>
      </c>
      <c r="D27" t="inlineStr">
        <is>
          <t>Metro</t>
        </is>
      </c>
      <c r="E27" t="inlineStr">
        <is>
          <t>CDS</t>
        </is>
      </c>
      <c r="F27" t="n">
        <v>0</v>
      </c>
      <c r="G27" t="n">
        <v>0</v>
      </c>
      <c r="H27" t="n">
        <v>0</v>
      </c>
      <c r="I27" t="n">
        <v>0</v>
      </c>
      <c r="J27" t="n">
        <v>0</v>
      </c>
      <c r="K27" t="n">
        <v>0</v>
      </c>
      <c r="L27" t="n">
        <v>0</v>
      </c>
      <c r="M27">
        <f>F27+G27+H27+K27-I27-J27-L27</f>
        <v/>
      </c>
      <c r="N27" t="inlineStr">
        <is>
          <t>NO APLICA</t>
        </is>
      </c>
      <c r="O27" t="n">
        <v>5</v>
      </c>
      <c r="P27">
        <f>IF(M27&lt;0, "ERROR: SOBREGIRO", IF(M27=0, "SIN EXISTENCIAS", IF(M27&lt;=O27, "STOCK BAJO", "STOCK NORMAL")))</f>
        <v/>
      </c>
    </row>
    <row r="28">
      <c r="A28" t="n">
        <v>4925</v>
      </c>
      <c r="B28" t="inlineStr">
        <is>
          <t>CABLE COBRE AISLADO 7 HILOS VERDE 6 AWG</t>
        </is>
      </c>
      <c r="C28" t="inlineStr">
        <is>
          <t>Cableado</t>
        </is>
      </c>
      <c r="D28" t="inlineStr">
        <is>
          <t>Metro</t>
        </is>
      </c>
      <c r="E28" t="inlineStr">
        <is>
          <t>CDS</t>
        </is>
      </c>
      <c r="F28" t="n">
        <v>0</v>
      </c>
      <c r="G28" t="n">
        <v>0</v>
      </c>
      <c r="H28" t="n">
        <v>0</v>
      </c>
      <c r="I28" t="n">
        <v>0</v>
      </c>
      <c r="J28" t="n">
        <v>0</v>
      </c>
      <c r="K28" t="n">
        <v>0</v>
      </c>
      <c r="L28" t="n">
        <v>0</v>
      </c>
      <c r="M28">
        <f>F28+G28+H28+K28-I28-J28-L28</f>
        <v/>
      </c>
      <c r="N28" t="inlineStr">
        <is>
          <t>NO APLICA</t>
        </is>
      </c>
      <c r="O28" t="n">
        <v>5</v>
      </c>
      <c r="P28">
        <f>IF(M28&lt;0, "ERROR: SOBREGIRO", IF(M28=0, "SIN EXISTENCIAS", IF(M28&lt;=O28, "STOCK BAJO", "STOCK NORMAL")))</f>
        <v/>
      </c>
    </row>
    <row r="29">
      <c r="A29" t="n">
        <v>4927</v>
      </c>
      <c r="B29" t="inlineStr">
        <is>
          <t>CABLE COBRE AISLADO 7 HILOS VERDE 8 AWG</t>
        </is>
      </c>
      <c r="C29" t="inlineStr">
        <is>
          <t>Cableado</t>
        </is>
      </c>
      <c r="D29" t="inlineStr">
        <is>
          <t>Metro</t>
        </is>
      </c>
      <c r="E29" t="inlineStr">
        <is>
          <t>CDS</t>
        </is>
      </c>
      <c r="F29" t="n">
        <v>0</v>
      </c>
      <c r="G29" t="n">
        <v>0</v>
      </c>
      <c r="H29" t="n">
        <v>0</v>
      </c>
      <c r="I29" t="n">
        <v>0</v>
      </c>
      <c r="J29" t="n">
        <v>0</v>
      </c>
      <c r="K29" t="n">
        <v>0</v>
      </c>
      <c r="L29" t="n">
        <v>0</v>
      </c>
      <c r="M29">
        <f>F29+G29+H29+K29-I29-J29-L29</f>
        <v/>
      </c>
      <c r="N29" t="inlineStr">
        <is>
          <t>NO APLICA</t>
        </is>
      </c>
      <c r="O29" t="n">
        <v>5</v>
      </c>
      <c r="P29">
        <f>IF(M29&lt;0, "ERROR: SOBREGIRO", IF(M29=0, "SIN EXISTENCIAS", IF(M29&lt;=O29, "STOCK BAJO", "STOCK NORMAL")))</f>
        <v/>
      </c>
    </row>
    <row r="30">
      <c r="A30" t="n">
        <v>4931</v>
      </c>
      <c r="B30" t="inlineStr">
        <is>
          <t>CABLE COBRE DESNUDO 2 AWG</t>
        </is>
      </c>
      <c r="C30" t="inlineStr">
        <is>
          <t>Cableado</t>
        </is>
      </c>
      <c r="D30" t="inlineStr">
        <is>
          <t>Metro</t>
        </is>
      </c>
      <c r="E30" t="inlineStr">
        <is>
          <t>CDS</t>
        </is>
      </c>
      <c r="F30" t="n">
        <v>0</v>
      </c>
      <c r="G30" t="n">
        <v>0</v>
      </c>
      <c r="H30" t="n">
        <v>0</v>
      </c>
      <c r="I30" t="n">
        <v>0</v>
      </c>
      <c r="J30" t="n">
        <v>0</v>
      </c>
      <c r="K30" t="n">
        <v>0</v>
      </c>
      <c r="L30" t="n">
        <v>0</v>
      </c>
      <c r="M30">
        <f>F30+G30+H30+K30-I30-J30-L30</f>
        <v/>
      </c>
      <c r="N30" t="inlineStr">
        <is>
          <t>NO APLICA</t>
        </is>
      </c>
      <c r="O30" t="n">
        <v>5</v>
      </c>
      <c r="P30">
        <f>IF(M30&lt;0, "ERROR: SOBREGIRO", IF(M30=0, "SIN EXISTENCIAS", IF(M30&lt;=O30, "STOCK BAJO", "STOCK NORMAL")))</f>
        <v/>
      </c>
    </row>
    <row r="31">
      <c r="A31" t="n">
        <v>4934</v>
      </c>
      <c r="B31" t="inlineStr">
        <is>
          <t>CABLE COBRE DESNUDO 6 AWG</t>
        </is>
      </c>
      <c r="C31" t="inlineStr">
        <is>
          <t>Cableado</t>
        </is>
      </c>
      <c r="D31" t="inlineStr">
        <is>
          <t>Metro</t>
        </is>
      </c>
      <c r="E31" t="inlineStr">
        <is>
          <t>CDS</t>
        </is>
      </c>
      <c r="F31" t="n">
        <v>0</v>
      </c>
      <c r="G31" t="n">
        <v>0</v>
      </c>
      <c r="H31" t="n">
        <v>0</v>
      </c>
      <c r="I31" t="n">
        <v>0</v>
      </c>
      <c r="J31" t="n">
        <v>0</v>
      </c>
      <c r="K31" t="n">
        <v>0</v>
      </c>
      <c r="L31" t="n">
        <v>0</v>
      </c>
      <c r="M31">
        <f>F31+G31+H31+K31-I31-J31-L31</f>
        <v/>
      </c>
      <c r="N31" t="inlineStr">
        <is>
          <t>NO APLICA</t>
        </is>
      </c>
      <c r="O31" t="n">
        <v>5</v>
      </c>
      <c r="P31">
        <f>IF(M31&lt;0, "ERROR: SOBREGIRO", IF(M31=0, "SIN EXISTENCIAS", IF(M31&lt;=O31, "STOCK BAJO", "STOCK NORMAL")))</f>
        <v/>
      </c>
    </row>
    <row r="32">
      <c r="A32" t="n">
        <v>4935</v>
      </c>
      <c r="B32" t="inlineStr">
        <is>
          <t>CABLE COBRE DESNUDO 8 AWG</t>
        </is>
      </c>
      <c r="C32" t="inlineStr">
        <is>
          <t>Cableado</t>
        </is>
      </c>
      <c r="D32" t="inlineStr">
        <is>
          <t>Metro</t>
        </is>
      </c>
      <c r="E32" t="inlineStr">
        <is>
          <t>CDS</t>
        </is>
      </c>
      <c r="F32" t="n">
        <v>0</v>
      </c>
      <c r="G32" t="n">
        <v>0</v>
      </c>
      <c r="H32" t="n">
        <v>0</v>
      </c>
      <c r="I32" t="n">
        <v>0</v>
      </c>
      <c r="J32" t="n">
        <v>0</v>
      </c>
      <c r="K32" t="n">
        <v>0</v>
      </c>
      <c r="L32" t="n">
        <v>0</v>
      </c>
      <c r="M32">
        <f>F32+G32+H32+K32-I32-J32-L32</f>
        <v/>
      </c>
      <c r="N32" t="inlineStr">
        <is>
          <t>NO APLICA</t>
        </is>
      </c>
      <c r="O32" t="n">
        <v>5</v>
      </c>
      <c r="P32">
        <f>IF(M32&lt;0, "ERROR: SOBREGIRO", IF(M32=0, "SIN EXISTENCIAS", IF(M32&lt;=O32, "STOCK BAJO", "STOCK NORMAL")))</f>
        <v/>
      </c>
    </row>
    <row r="33">
      <c r="A33" t="n">
        <v>4947</v>
      </c>
      <c r="B33" t="inlineStr">
        <is>
          <t>CABLE ENCAUCHETADO 3X10 AWG</t>
        </is>
      </c>
      <c r="C33" t="inlineStr">
        <is>
          <t>Cableado</t>
        </is>
      </c>
      <c r="D33" t="inlineStr">
        <is>
          <t>Metro</t>
        </is>
      </c>
      <c r="E33" t="inlineStr">
        <is>
          <t>CDS</t>
        </is>
      </c>
      <c r="F33" t="n">
        <v>0</v>
      </c>
      <c r="G33" t="n">
        <v>0</v>
      </c>
      <c r="H33" t="n">
        <v>0</v>
      </c>
      <c r="I33" t="n">
        <v>0</v>
      </c>
      <c r="J33" t="n">
        <v>0</v>
      </c>
      <c r="K33" t="n">
        <v>0</v>
      </c>
      <c r="L33" t="n">
        <v>0</v>
      </c>
      <c r="M33">
        <f>F33+G33+H33+K33-I33-J33-L33</f>
        <v/>
      </c>
      <c r="N33" t="inlineStr">
        <is>
          <t>NO APLICA</t>
        </is>
      </c>
      <c r="O33" t="n">
        <v>5</v>
      </c>
      <c r="P33">
        <f>IF(M33&lt;0, "ERROR: SOBREGIRO", IF(M33=0, "SIN EXISTENCIAS", IF(M33&lt;=O33, "STOCK BAJO", "STOCK NORMAL")))</f>
        <v/>
      </c>
    </row>
    <row r="34">
      <c r="A34" t="n">
        <v>4948</v>
      </c>
      <c r="B34" t="inlineStr">
        <is>
          <t>CABLE ENCAUCHETADO 3X12 AWG</t>
        </is>
      </c>
      <c r="C34" t="inlineStr">
        <is>
          <t>Cableado</t>
        </is>
      </c>
      <c r="D34" t="inlineStr">
        <is>
          <t>Metro</t>
        </is>
      </c>
      <c r="E34" t="inlineStr">
        <is>
          <t>CDS</t>
        </is>
      </c>
      <c r="F34" t="n">
        <v>0</v>
      </c>
      <c r="G34" t="n">
        <v>0</v>
      </c>
      <c r="H34" t="n">
        <v>0</v>
      </c>
      <c r="I34" t="n">
        <v>0</v>
      </c>
      <c r="J34" t="n">
        <v>0</v>
      </c>
      <c r="K34" t="n">
        <v>0</v>
      </c>
      <c r="L34" t="n">
        <v>0</v>
      </c>
      <c r="M34">
        <f>F34+G34+H34+K34-I34-J34-L34</f>
        <v/>
      </c>
      <c r="N34" t="inlineStr">
        <is>
          <t>NO APLICA</t>
        </is>
      </c>
      <c r="O34" t="n">
        <v>5</v>
      </c>
      <c r="P34">
        <f>IF(M34&lt;0, "ERROR: SOBREGIRO", IF(M34=0, "SIN EXISTENCIAS", IF(M34&lt;=O34, "STOCK BAJO", "STOCK NORMAL")))</f>
        <v/>
      </c>
    </row>
    <row r="35">
      <c r="A35" t="n">
        <v>4949</v>
      </c>
      <c r="B35" t="inlineStr">
        <is>
          <t>CABLE ENCAUCHETADO 3X14 AWG</t>
        </is>
      </c>
      <c r="C35" t="inlineStr">
        <is>
          <t>Cableado</t>
        </is>
      </c>
      <c r="D35" t="inlineStr">
        <is>
          <t>Metro</t>
        </is>
      </c>
      <c r="E35" t="inlineStr">
        <is>
          <t>CDS</t>
        </is>
      </c>
      <c r="F35" t="n">
        <v>0</v>
      </c>
      <c r="G35" t="n">
        <v>0</v>
      </c>
      <c r="H35" t="n">
        <v>0</v>
      </c>
      <c r="I35" t="n">
        <v>0</v>
      </c>
      <c r="J35" t="n">
        <v>0</v>
      </c>
      <c r="K35" t="n">
        <v>0</v>
      </c>
      <c r="L35" t="n">
        <v>0</v>
      </c>
      <c r="M35">
        <f>F35+G35+H35+K35-I35-J35-L35</f>
        <v/>
      </c>
      <c r="N35" t="inlineStr">
        <is>
          <t>NO APLICA</t>
        </is>
      </c>
      <c r="O35" t="n">
        <v>5</v>
      </c>
      <c r="P35">
        <f>IF(M35&lt;0, "ERROR: SOBREGIRO", IF(M35=0, "SIN EXISTENCIAS", IF(M35&lt;=O35, "STOCK BAJO", "STOCK NORMAL")))</f>
        <v/>
      </c>
    </row>
    <row r="36">
      <c r="A36" t="n">
        <v>4951</v>
      </c>
      <c r="B36" t="inlineStr">
        <is>
          <t>CABLE ENCAUCHETADO 3X8 AWG</t>
        </is>
      </c>
      <c r="C36" t="inlineStr">
        <is>
          <t>Cableado</t>
        </is>
      </c>
      <c r="D36" t="inlineStr">
        <is>
          <t>Metro</t>
        </is>
      </c>
      <c r="E36" t="inlineStr">
        <is>
          <t>CDS</t>
        </is>
      </c>
      <c r="F36" t="n">
        <v>0</v>
      </c>
      <c r="G36" t="n">
        <v>0</v>
      </c>
      <c r="H36" t="n">
        <v>0</v>
      </c>
      <c r="I36" t="n">
        <v>0</v>
      </c>
      <c r="J36" t="n">
        <v>0</v>
      </c>
      <c r="K36" t="n">
        <v>0</v>
      </c>
      <c r="L36" t="n">
        <v>0</v>
      </c>
      <c r="M36">
        <f>F36+G36+H36+K36-I36-J36-L36</f>
        <v/>
      </c>
      <c r="N36" t="inlineStr">
        <is>
          <t>NO APLICA</t>
        </is>
      </c>
      <c r="O36" t="n">
        <v>5</v>
      </c>
      <c r="P36">
        <f>IF(M36&lt;0, "ERROR: SOBREGIRO", IF(M36=0, "SIN EXISTENCIAS", IF(M36&lt;=O36, "STOCK BAJO", "STOCK NORMAL")))</f>
        <v/>
      </c>
    </row>
    <row r="37">
      <c r="A37" t="n">
        <v>4982</v>
      </c>
      <c r="B37" t="inlineStr">
        <is>
          <t>CABLE INSTRUMENTACION APANTALLADO 4X18 AWG</t>
        </is>
      </c>
      <c r="C37" t="inlineStr">
        <is>
          <t>Cableado</t>
        </is>
      </c>
      <c r="D37" t="inlineStr">
        <is>
          <t>Metro</t>
        </is>
      </c>
      <c r="E37" t="inlineStr">
        <is>
          <t>CDS</t>
        </is>
      </c>
      <c r="F37" t="n">
        <v>0</v>
      </c>
      <c r="G37" t="n">
        <v>0</v>
      </c>
      <c r="H37" t="n">
        <v>0</v>
      </c>
      <c r="I37" t="n">
        <v>0</v>
      </c>
      <c r="J37" t="n">
        <v>0</v>
      </c>
      <c r="K37" t="n">
        <v>0</v>
      </c>
      <c r="L37" t="n">
        <v>0</v>
      </c>
      <c r="M37">
        <f>F37+G37+H37+K37-I37-J37-L37</f>
        <v/>
      </c>
      <c r="N37" t="inlineStr">
        <is>
          <t>NO APLICA</t>
        </is>
      </c>
      <c r="O37" t="n">
        <v>5</v>
      </c>
      <c r="P37">
        <f>IF(M37&lt;0, "ERROR: SOBREGIRO", IF(M37=0, "SIN EXISTENCIAS", IF(M37&lt;=O37, "STOCK BAJO", "STOCK NORMAL")))</f>
        <v/>
      </c>
    </row>
    <row r="38">
      <c r="A38" t="n">
        <v>4989</v>
      </c>
      <c r="B38" t="inlineStr">
        <is>
          <t>CABLE SOLAR NEGRO 1KV 6MM HF</t>
        </is>
      </c>
      <c r="C38" t="inlineStr">
        <is>
          <t>Cableado</t>
        </is>
      </c>
      <c r="D38" t="inlineStr">
        <is>
          <t>Metro</t>
        </is>
      </c>
      <c r="E38" t="inlineStr">
        <is>
          <t>CDS</t>
        </is>
      </c>
      <c r="F38" t="n">
        <v>0</v>
      </c>
      <c r="G38" t="n">
        <v>0</v>
      </c>
      <c r="H38" t="n">
        <v>0</v>
      </c>
      <c r="I38" t="n">
        <v>0</v>
      </c>
      <c r="J38" t="n">
        <v>0</v>
      </c>
      <c r="K38" t="n">
        <v>0</v>
      </c>
      <c r="L38" t="n">
        <v>0</v>
      </c>
      <c r="M38">
        <f>F38+G38+H38+K38-I38-J38-L38</f>
        <v/>
      </c>
      <c r="N38" t="inlineStr">
        <is>
          <t>NO APLICA</t>
        </is>
      </c>
      <c r="O38" t="n">
        <v>5</v>
      </c>
      <c r="P38">
        <f>IF(M38&lt;0, "ERROR: SOBREGIRO", IF(M38=0, "SIN EXISTENCIAS", IF(M38&lt;=O38, "STOCK BAJO", "STOCK NORMAL")))</f>
        <v/>
      </c>
    </row>
    <row r="39">
      <c r="A39" t="n">
        <v>4991</v>
      </c>
      <c r="B39" t="inlineStr">
        <is>
          <t>CABLE SOLAR ROJO 1KV 6MM HF</t>
        </is>
      </c>
      <c r="C39" t="inlineStr">
        <is>
          <t>Cableado</t>
        </is>
      </c>
      <c r="D39" t="inlineStr">
        <is>
          <t>Metro</t>
        </is>
      </c>
      <c r="E39" t="inlineStr">
        <is>
          <t>CDS</t>
        </is>
      </c>
      <c r="F39" t="n">
        <v>0</v>
      </c>
      <c r="G39" t="n">
        <v>0</v>
      </c>
      <c r="H39" t="n">
        <v>0</v>
      </c>
      <c r="I39" t="n">
        <v>0</v>
      </c>
      <c r="J39" t="n">
        <v>0</v>
      </c>
      <c r="K39" t="n">
        <v>0</v>
      </c>
      <c r="L39" t="n">
        <v>0</v>
      </c>
      <c r="M39">
        <f>F39+G39+H39+K39-I39-J39-L39</f>
        <v/>
      </c>
      <c r="N39" t="inlineStr">
        <is>
          <t>NO APLICA</t>
        </is>
      </c>
      <c r="O39" t="n">
        <v>5</v>
      </c>
      <c r="P39">
        <f>IF(M39&lt;0, "ERROR: SOBREGIRO", IF(M39=0, "SIN EXISTENCIAS", IF(M39&lt;=O39, "STOCK BAJO", "STOCK NORMAL")))</f>
        <v/>
      </c>
    </row>
    <row r="40">
      <c r="A40" t="n">
        <v>4993</v>
      </c>
      <c r="B40" t="inlineStr">
        <is>
          <t>CABLE SOLDADOR 2 AWG</t>
        </is>
      </c>
      <c r="C40" t="inlineStr">
        <is>
          <t>Cableado</t>
        </is>
      </c>
      <c r="D40" t="inlineStr">
        <is>
          <t>Metro</t>
        </is>
      </c>
      <c r="E40" t="inlineStr">
        <is>
          <t>CDS</t>
        </is>
      </c>
      <c r="F40" t="n">
        <v>0</v>
      </c>
      <c r="G40" t="n">
        <v>0</v>
      </c>
      <c r="H40" t="n">
        <v>0</v>
      </c>
      <c r="I40" t="n">
        <v>0</v>
      </c>
      <c r="J40" t="n">
        <v>0</v>
      </c>
      <c r="K40" t="n">
        <v>0</v>
      </c>
      <c r="L40" t="n">
        <v>0</v>
      </c>
      <c r="M40">
        <f>F40+G40+H40+K40-I40-J40-L40</f>
        <v/>
      </c>
      <c r="N40" t="inlineStr">
        <is>
          <t>NO APLICA</t>
        </is>
      </c>
      <c r="O40" t="n">
        <v>5</v>
      </c>
      <c r="P40">
        <f>IF(M40&lt;0, "ERROR: SOBREGIRO", IF(M40=0, "SIN EXISTENCIAS", IF(M40&lt;=O40, "STOCK BAJO", "STOCK NORMAL")))</f>
        <v/>
      </c>
    </row>
    <row r="41">
      <c r="A41" t="n">
        <v>5210</v>
      </c>
      <c r="B41" t="inlineStr">
        <is>
          <t>CONECTOR MC4 HEMBRA</t>
        </is>
      </c>
      <c r="C41" t="inlineStr">
        <is>
          <t>Materiales</t>
        </is>
      </c>
      <c r="D41" t="inlineStr">
        <is>
          <t>Unidad</t>
        </is>
      </c>
      <c r="E41" t="inlineStr">
        <is>
          <t>CDS</t>
        </is>
      </c>
      <c r="F41" t="n">
        <v>0</v>
      </c>
      <c r="G41" t="n">
        <v>0</v>
      </c>
      <c r="H41" t="n">
        <v>0</v>
      </c>
      <c r="I41" t="n">
        <v>0</v>
      </c>
      <c r="J41" t="n">
        <v>0</v>
      </c>
      <c r="K41" t="n">
        <v>0</v>
      </c>
      <c r="L41" t="n">
        <v>0</v>
      </c>
      <c r="M41">
        <f>F41+G41+H41+K41-I41-J41-L41</f>
        <v/>
      </c>
      <c r="N41" t="inlineStr">
        <is>
          <t>NO APLICA</t>
        </is>
      </c>
      <c r="O41" t="n">
        <v>5</v>
      </c>
      <c r="P41">
        <f>IF(M41&lt;0, "ERROR: SOBREGIRO", IF(M41=0, "SIN EXISTENCIAS", IF(M41&lt;=O41, "STOCK BAJO", "STOCK NORMAL")))</f>
        <v/>
      </c>
    </row>
    <row r="42">
      <c r="A42" t="n">
        <v>5211</v>
      </c>
      <c r="B42" t="inlineStr">
        <is>
          <t>CONECTOR MC4 MACHO</t>
        </is>
      </c>
      <c r="C42" t="inlineStr">
        <is>
          <t>Materiales</t>
        </is>
      </c>
      <c r="D42" t="inlineStr">
        <is>
          <t>Unidad</t>
        </is>
      </c>
      <c r="E42" t="inlineStr">
        <is>
          <t>CDS</t>
        </is>
      </c>
      <c r="F42" t="n">
        <v>0</v>
      </c>
      <c r="G42" t="n">
        <v>0</v>
      </c>
      <c r="H42" t="n">
        <v>0</v>
      </c>
      <c r="I42" t="n">
        <v>0</v>
      </c>
      <c r="J42" t="n">
        <v>0</v>
      </c>
      <c r="K42" t="n">
        <v>0</v>
      </c>
      <c r="L42" t="n">
        <v>0</v>
      </c>
      <c r="M42">
        <f>F42+G42+H42+K42-I42-J42-L42</f>
        <v/>
      </c>
      <c r="N42" t="inlineStr">
        <is>
          <t>NO APLICA</t>
        </is>
      </c>
      <c r="O42" t="n">
        <v>5</v>
      </c>
      <c r="P42">
        <f>IF(M42&lt;0, "ERROR: SOBREGIRO", IF(M42=0, "SIN EXISTENCIAS", IF(M42&lt;=O42, "STOCK BAJO", "STOCK NORMAL")))</f>
        <v/>
      </c>
    </row>
    <row r="43">
      <c r="A43" t="n">
        <v>5216</v>
      </c>
      <c r="B43" t="inlineStr">
        <is>
          <t>CONECTOR TUBULAR BARRIL 2/0 AWG</t>
        </is>
      </c>
      <c r="C43" t="inlineStr">
        <is>
          <t>Materiales</t>
        </is>
      </c>
      <c r="D43" t="inlineStr">
        <is>
          <t>Unidad</t>
        </is>
      </c>
      <c r="E43" t="inlineStr">
        <is>
          <t>CDS</t>
        </is>
      </c>
      <c r="F43" t="n">
        <v>0</v>
      </c>
      <c r="G43" t="n">
        <v>0</v>
      </c>
      <c r="H43" t="n">
        <v>0</v>
      </c>
      <c r="I43" t="n">
        <v>0</v>
      </c>
      <c r="J43" t="n">
        <v>0</v>
      </c>
      <c r="K43" t="n">
        <v>0</v>
      </c>
      <c r="L43" t="n">
        <v>0</v>
      </c>
      <c r="M43">
        <f>F43+G43+H43+K43-I43-J43-L43</f>
        <v/>
      </c>
      <c r="N43" t="inlineStr">
        <is>
          <t>NO APLICA</t>
        </is>
      </c>
      <c r="O43" t="n">
        <v>5</v>
      </c>
      <c r="P43">
        <f>IF(M43&lt;0, "ERROR: SOBREGIRO", IF(M43=0, "SIN EXISTENCIAS", IF(M43&lt;=O43, "STOCK BAJO", "STOCK NORMAL")))</f>
        <v/>
      </c>
    </row>
    <row r="44">
      <c r="A44" t="n">
        <v>5223</v>
      </c>
      <c r="B44" t="inlineStr">
        <is>
          <t>TERMINAL OJO 1/0 AWG HUECO 3/8"</t>
        </is>
      </c>
      <c r="C44" t="inlineStr">
        <is>
          <t>Elementos electricos</t>
        </is>
      </c>
      <c r="D44" t="inlineStr">
        <is>
          <t>Unidad</t>
        </is>
      </c>
      <c r="E44" t="inlineStr">
        <is>
          <t>CDS</t>
        </is>
      </c>
      <c r="F44" t="n">
        <v>0</v>
      </c>
      <c r="G44" t="n">
        <v>0</v>
      </c>
      <c r="H44" t="n">
        <v>0</v>
      </c>
      <c r="I44" t="n">
        <v>0</v>
      </c>
      <c r="J44" t="n">
        <v>0</v>
      </c>
      <c r="K44" t="n">
        <v>0</v>
      </c>
      <c r="L44" t="n">
        <v>0</v>
      </c>
      <c r="M44">
        <f>F44+G44+H44+K44-I44-J44-L44</f>
        <v/>
      </c>
      <c r="N44" t="inlineStr">
        <is>
          <t>NO APLICA</t>
        </is>
      </c>
      <c r="O44" t="n">
        <v>5</v>
      </c>
      <c r="P44">
        <f>IF(M44&lt;0, "ERROR: SOBREGIRO", IF(M44=0, "SIN EXISTENCIAS", IF(M44&lt;=O44, "STOCK BAJO", "STOCK NORMAL")))</f>
        <v/>
      </c>
    </row>
    <row r="45">
      <c r="A45" t="n">
        <v>5227</v>
      </c>
      <c r="B45" t="inlineStr">
        <is>
          <t>TERMINAL OJO 2 AWG HUECO 5/16"</t>
        </is>
      </c>
      <c r="C45" t="inlineStr">
        <is>
          <t>Elementos electricos</t>
        </is>
      </c>
      <c r="D45" t="inlineStr">
        <is>
          <t>Unidad</t>
        </is>
      </c>
      <c r="E45" t="inlineStr">
        <is>
          <t>CDS</t>
        </is>
      </c>
      <c r="F45" t="n">
        <v>0</v>
      </c>
      <c r="G45" t="n">
        <v>0</v>
      </c>
      <c r="H45" t="n">
        <v>0</v>
      </c>
      <c r="I45" t="n">
        <v>0</v>
      </c>
      <c r="J45" t="n">
        <v>0</v>
      </c>
      <c r="K45" t="n">
        <v>0</v>
      </c>
      <c r="L45" t="n">
        <v>0</v>
      </c>
      <c r="M45">
        <f>F45+G45+H45+K45-I45-J45-L45</f>
        <v/>
      </c>
      <c r="N45" t="inlineStr">
        <is>
          <t>NO APLICA</t>
        </is>
      </c>
      <c r="O45" t="n">
        <v>5</v>
      </c>
      <c r="P45">
        <f>IF(M45&lt;0, "ERROR: SOBREGIRO", IF(M45=0, "SIN EXISTENCIAS", IF(M45&lt;=O45, "STOCK BAJO", "STOCK NORMAL")))</f>
        <v/>
      </c>
    </row>
    <row r="46">
      <c r="A46" t="n">
        <v>5234</v>
      </c>
      <c r="B46" t="inlineStr">
        <is>
          <t>TERMINAL OJO 4/0 AWG HUECO 3/8"</t>
        </is>
      </c>
      <c r="C46" t="inlineStr">
        <is>
          <t>Elementos electricos</t>
        </is>
      </c>
      <c r="D46" t="inlineStr">
        <is>
          <t>Unidad</t>
        </is>
      </c>
      <c r="E46" t="inlineStr">
        <is>
          <t>CDS</t>
        </is>
      </c>
      <c r="F46" t="n">
        <v>0</v>
      </c>
      <c r="G46" t="n">
        <v>0</v>
      </c>
      <c r="H46" t="n">
        <v>0</v>
      </c>
      <c r="I46" t="n">
        <v>0</v>
      </c>
      <c r="J46" t="n">
        <v>0</v>
      </c>
      <c r="K46" t="n">
        <v>0</v>
      </c>
      <c r="L46" t="n">
        <v>0</v>
      </c>
      <c r="M46">
        <f>F46+G46+H46+K46-I46-J46-L46</f>
        <v/>
      </c>
      <c r="N46" t="inlineStr">
        <is>
          <t>NO APLICA</t>
        </is>
      </c>
      <c r="O46" t="n">
        <v>5</v>
      </c>
      <c r="P46">
        <f>IF(M46&lt;0, "ERROR: SOBREGIRO", IF(M46=0, "SIN EXISTENCIAS", IF(M46&lt;=O46, "STOCK BAJO", "STOCK NORMAL")))</f>
        <v/>
      </c>
    </row>
    <row r="47">
      <c r="A47" t="n">
        <v>5235</v>
      </c>
      <c r="B47" t="inlineStr">
        <is>
          <t>TERMINAL OJO 4/0 AWG HUECO 5/16"</t>
        </is>
      </c>
      <c r="C47" t="inlineStr">
        <is>
          <t>Elementos electricos</t>
        </is>
      </c>
      <c r="D47" t="inlineStr">
        <is>
          <t>Unidad</t>
        </is>
      </c>
      <c r="E47" t="inlineStr">
        <is>
          <t>CDS</t>
        </is>
      </c>
      <c r="F47" t="n">
        <v>0</v>
      </c>
      <c r="G47" t="n">
        <v>0</v>
      </c>
      <c r="H47" t="n">
        <v>0</v>
      </c>
      <c r="I47" t="n">
        <v>0</v>
      </c>
      <c r="J47" t="n">
        <v>0</v>
      </c>
      <c r="K47" t="n">
        <v>0</v>
      </c>
      <c r="L47" t="n">
        <v>0</v>
      </c>
      <c r="M47">
        <f>F47+G47+H47+K47-I47-J47-L47</f>
        <v/>
      </c>
      <c r="N47" t="inlineStr">
        <is>
          <t>NO APLICA</t>
        </is>
      </c>
      <c r="O47" t="n">
        <v>5</v>
      </c>
      <c r="P47">
        <f>IF(M47&lt;0, "ERROR: SOBREGIRO", IF(M47=0, "SIN EXISTENCIAS", IF(M47&lt;=O47, "STOCK BAJO", "STOCK NORMAL")))</f>
        <v/>
      </c>
    </row>
    <row r="48">
      <c r="A48" t="n">
        <v>5237</v>
      </c>
      <c r="B48" t="inlineStr">
        <is>
          <t>TERMINAL OJO 6 AWG HUECO 5/16"</t>
        </is>
      </c>
      <c r="C48" t="inlineStr">
        <is>
          <t>Elementos electricos</t>
        </is>
      </c>
      <c r="D48" t="inlineStr">
        <is>
          <t>Unidad</t>
        </is>
      </c>
      <c r="E48" t="inlineStr">
        <is>
          <t>CDS</t>
        </is>
      </c>
      <c r="F48" t="n">
        <v>0</v>
      </c>
      <c r="G48" t="n">
        <v>0</v>
      </c>
      <c r="H48" t="n">
        <v>0</v>
      </c>
      <c r="I48" t="n">
        <v>0</v>
      </c>
      <c r="J48" t="n">
        <v>0</v>
      </c>
      <c r="K48" t="n">
        <v>0</v>
      </c>
      <c r="L48" t="n">
        <v>0</v>
      </c>
      <c r="M48">
        <f>F48+G48+H48+K48-I48-J48-L48</f>
        <v/>
      </c>
      <c r="N48" t="inlineStr">
        <is>
          <t>NO APLICA</t>
        </is>
      </c>
      <c r="O48" t="n">
        <v>5</v>
      </c>
      <c r="P48">
        <f>IF(M48&lt;0, "ERROR: SOBREGIRO", IF(M48=0, "SIN EXISTENCIAS", IF(M48&lt;=O48, "STOCK BAJO", "STOCK NORMAL")))</f>
        <v/>
      </c>
    </row>
    <row r="49">
      <c r="A49" t="n">
        <v>5239</v>
      </c>
      <c r="B49" t="inlineStr">
        <is>
          <t>TERMINAL OJO 8 AWG HUECO 5/16"</t>
        </is>
      </c>
      <c r="C49" t="inlineStr">
        <is>
          <t>Elementos electricos</t>
        </is>
      </c>
      <c r="D49" t="inlineStr">
        <is>
          <t>Unidad</t>
        </is>
      </c>
      <c r="E49" t="inlineStr">
        <is>
          <t>CDS</t>
        </is>
      </c>
      <c r="F49" t="n">
        <v>0</v>
      </c>
      <c r="G49" t="n">
        <v>0</v>
      </c>
      <c r="H49" t="n">
        <v>0</v>
      </c>
      <c r="I49" t="n">
        <v>0</v>
      </c>
      <c r="J49" t="n">
        <v>0</v>
      </c>
      <c r="K49" t="n">
        <v>0</v>
      </c>
      <c r="L49" t="n">
        <v>0</v>
      </c>
      <c r="M49">
        <f>F49+G49+H49+K49-I49-J49-L49</f>
        <v/>
      </c>
      <c r="N49" t="inlineStr">
        <is>
          <t>NO APLICA</t>
        </is>
      </c>
      <c r="O49" t="n">
        <v>5</v>
      </c>
      <c r="P49">
        <f>IF(M49&lt;0, "ERROR: SOBREGIRO", IF(M49=0, "SIN EXISTENCIAS", IF(M49&lt;=O49, "STOCK BAJO", "STOCK NORMAL")))</f>
        <v/>
      </c>
    </row>
    <row r="50">
      <c r="A50" t="n">
        <v>5249</v>
      </c>
      <c r="B50" t="inlineStr">
        <is>
          <t>TERMINAL PIN HUECO 10 AWG</t>
        </is>
      </c>
      <c r="C50" t="inlineStr">
        <is>
          <t>Elementos electricos</t>
        </is>
      </c>
      <c r="D50" t="inlineStr">
        <is>
          <t>Unidad</t>
        </is>
      </c>
      <c r="E50" t="inlineStr">
        <is>
          <t>CDS</t>
        </is>
      </c>
      <c r="F50" t="n">
        <v>0</v>
      </c>
      <c r="G50" t="n">
        <v>0</v>
      </c>
      <c r="H50" t="n">
        <v>0</v>
      </c>
      <c r="I50" t="n">
        <v>0</v>
      </c>
      <c r="J50" t="n">
        <v>0</v>
      </c>
      <c r="K50" t="n">
        <v>0</v>
      </c>
      <c r="L50" t="n">
        <v>0</v>
      </c>
      <c r="M50">
        <f>F50+G50+H50+K50-I50-J50-L50</f>
        <v/>
      </c>
      <c r="N50" t="inlineStr">
        <is>
          <t>NO APLICA</t>
        </is>
      </c>
      <c r="O50" t="n">
        <v>5</v>
      </c>
      <c r="P50">
        <f>IF(M50&lt;0, "ERROR: SOBREGIRO", IF(M50=0, "SIN EXISTENCIAS", IF(M50&lt;=O50, "STOCK BAJO", "STOCK NORMAL")))</f>
        <v/>
      </c>
    </row>
    <row r="51">
      <c r="A51" t="n">
        <v>5250</v>
      </c>
      <c r="B51" t="inlineStr">
        <is>
          <t>TERMINAL PIN HUECO 6 AWG</t>
        </is>
      </c>
      <c r="C51" t="inlineStr">
        <is>
          <t>Elementos electricos</t>
        </is>
      </c>
      <c r="D51" t="inlineStr">
        <is>
          <t>Unidad</t>
        </is>
      </c>
      <c r="E51" t="inlineStr">
        <is>
          <t>CDS</t>
        </is>
      </c>
      <c r="F51" t="n">
        <v>0</v>
      </c>
      <c r="G51" t="n">
        <v>0</v>
      </c>
      <c r="H51" t="n">
        <v>0</v>
      </c>
      <c r="I51" t="n">
        <v>0</v>
      </c>
      <c r="J51" t="n">
        <v>0</v>
      </c>
      <c r="K51" t="n">
        <v>0</v>
      </c>
      <c r="L51" t="n">
        <v>0</v>
      </c>
      <c r="M51">
        <f>F51+G51+H51+K51-I51-J51-L51</f>
        <v/>
      </c>
      <c r="N51" t="inlineStr">
        <is>
          <t>NO APLICA</t>
        </is>
      </c>
      <c r="O51" t="n">
        <v>5</v>
      </c>
      <c r="P51">
        <f>IF(M51&lt;0, "ERROR: SOBREGIRO", IF(M51=0, "SIN EXISTENCIAS", IF(M51&lt;=O51, "STOCK BAJO", "STOCK NORMAL")))</f>
        <v/>
      </c>
    </row>
    <row r="52">
      <c r="A52" t="n">
        <v>5251</v>
      </c>
      <c r="B52" t="inlineStr">
        <is>
          <t>TERMINAL PIN HUECO 8 AWG</t>
        </is>
      </c>
      <c r="C52" t="inlineStr">
        <is>
          <t>Elementos electricos</t>
        </is>
      </c>
      <c r="D52" t="inlineStr">
        <is>
          <t>Unidad</t>
        </is>
      </c>
      <c r="E52" t="inlineStr">
        <is>
          <t>CDS</t>
        </is>
      </c>
      <c r="F52" t="n">
        <v>0</v>
      </c>
      <c r="G52" t="n">
        <v>0</v>
      </c>
      <c r="H52" t="n">
        <v>0</v>
      </c>
      <c r="I52" t="n">
        <v>0</v>
      </c>
      <c r="J52" t="n">
        <v>0</v>
      </c>
      <c r="K52" t="n">
        <v>0</v>
      </c>
      <c r="L52" t="n">
        <v>0</v>
      </c>
      <c r="M52">
        <f>F52+G52+H52+K52-I52-J52-L52</f>
        <v/>
      </c>
      <c r="N52" t="inlineStr">
        <is>
          <t>NO APLICA</t>
        </is>
      </c>
      <c r="O52" t="n">
        <v>5</v>
      </c>
      <c r="P52">
        <f>IF(M52&lt;0, "ERROR: SOBREGIRO", IF(M52=0, "SIN EXISTENCIAS", IF(M52&lt;=O52, "STOCK BAJO", "STOCK NORMAL")))</f>
        <v/>
      </c>
    </row>
    <row r="53">
      <c r="A53" t="n">
        <v>5359</v>
      </c>
      <c r="B53" t="inlineStr">
        <is>
          <t>BARRA DE COBRE</t>
        </is>
      </c>
      <c r="C53" t="inlineStr">
        <is>
          <t>Materiales</t>
        </is>
      </c>
      <c r="D53" t="inlineStr">
        <is>
          <t>Unidad</t>
        </is>
      </c>
      <c r="E53" t="inlineStr">
        <is>
          <t>CDS</t>
        </is>
      </c>
      <c r="F53" t="n">
        <v>0</v>
      </c>
      <c r="G53" t="n">
        <v>0</v>
      </c>
      <c r="H53" t="n">
        <v>0</v>
      </c>
      <c r="I53" t="n">
        <v>0</v>
      </c>
      <c r="J53" t="n">
        <v>0</v>
      </c>
      <c r="K53" t="n">
        <v>0</v>
      </c>
      <c r="L53" t="n">
        <v>0</v>
      </c>
      <c r="M53">
        <f>F53+G53+H53+K53-I53-J53-L53</f>
        <v/>
      </c>
      <c r="N53" t="inlineStr">
        <is>
          <t>NO APLICA</t>
        </is>
      </c>
      <c r="O53" t="n">
        <v>5</v>
      </c>
      <c r="P53">
        <f>IF(M53&lt;0, "ERROR: SOBREGIRO", IF(M53=0, "SIN EXISTENCIAS", IF(M53&lt;=O53, "STOCK BAJO", "STOCK NORMAL")))</f>
        <v/>
      </c>
    </row>
    <row r="54">
      <c r="A54" t="n">
        <v>5360</v>
      </c>
      <c r="B54" t="inlineStr">
        <is>
          <t>BARRA DE COBRE CON AISLADORES</t>
        </is>
      </c>
      <c r="C54" t="inlineStr">
        <is>
          <t>Materiales</t>
        </is>
      </c>
      <c r="D54" t="inlineStr">
        <is>
          <t>Unidad</t>
        </is>
      </c>
      <c r="E54" t="inlineStr">
        <is>
          <t>CDS</t>
        </is>
      </c>
      <c r="F54" t="n">
        <v>0</v>
      </c>
      <c r="G54" t="n">
        <v>0</v>
      </c>
      <c r="H54" t="n">
        <v>0</v>
      </c>
      <c r="I54" t="n">
        <v>0</v>
      </c>
      <c r="J54" t="n">
        <v>0</v>
      </c>
      <c r="K54" t="n">
        <v>0</v>
      </c>
      <c r="L54" t="n">
        <v>0</v>
      </c>
      <c r="M54">
        <f>F54+G54+H54+K54-I54-J54-L54</f>
        <v/>
      </c>
      <c r="N54" t="inlineStr">
        <is>
          <t>NO APLICA</t>
        </is>
      </c>
      <c r="O54" t="n">
        <v>5</v>
      </c>
      <c r="P54">
        <f>IF(M54&lt;0, "ERROR: SOBREGIRO", IF(M54=0, "SIN EXISTENCIAS", IF(M54&lt;=O54, "STOCK BAJO", "STOCK NORMAL")))</f>
        <v/>
      </c>
    </row>
    <row r="55">
      <c r="A55" t="n">
        <v>5361</v>
      </c>
      <c r="B55" t="inlineStr">
        <is>
          <t>BARRA DE COBRE ESCALONADA</t>
        </is>
      </c>
      <c r="C55" t="inlineStr">
        <is>
          <t>Materiales</t>
        </is>
      </c>
      <c r="D55" t="inlineStr">
        <is>
          <t>Unidad</t>
        </is>
      </c>
      <c r="E55" t="inlineStr">
        <is>
          <t>CDS</t>
        </is>
      </c>
      <c r="F55" t="n">
        <v>0</v>
      </c>
      <c r="G55" t="n">
        <v>0</v>
      </c>
      <c r="H55" t="n">
        <v>0</v>
      </c>
      <c r="I55" t="n">
        <v>0</v>
      </c>
      <c r="J55" t="n">
        <v>0</v>
      </c>
      <c r="K55" t="n">
        <v>0</v>
      </c>
      <c r="L55" t="n">
        <v>0</v>
      </c>
      <c r="M55">
        <f>F55+G55+H55+K55-I55-J55-L55</f>
        <v/>
      </c>
      <c r="N55" t="inlineStr">
        <is>
          <t>NO APLICA</t>
        </is>
      </c>
      <c r="O55" t="n">
        <v>5</v>
      </c>
      <c r="P55">
        <f>IF(M55&lt;0, "ERROR: SOBREGIRO", IF(M55=0, "SIN EXISTENCIAS", IF(M55&lt;=O55, "STOCK BAJO", "STOCK NORMAL")))</f>
        <v/>
      </c>
    </row>
    <row r="56">
      <c r="A56" t="n">
        <v>5366</v>
      </c>
      <c r="B56" t="inlineStr">
        <is>
          <t>CAJA CON TAPA PARA TOMA 12X12X5 TERCOL</t>
        </is>
      </c>
      <c r="C56" t="inlineStr">
        <is>
          <t>Elementos electricos</t>
        </is>
      </c>
      <c r="D56" t="inlineStr">
        <is>
          <t>Caja</t>
        </is>
      </c>
      <c r="E56" t="inlineStr">
        <is>
          <t>CDS</t>
        </is>
      </c>
      <c r="F56" t="n">
        <v>15</v>
      </c>
      <c r="G56" t="n">
        <v>0</v>
      </c>
      <c r="H56" t="n">
        <v>0</v>
      </c>
      <c r="I56" t="n">
        <v>0</v>
      </c>
      <c r="J56" t="n">
        <v>0</v>
      </c>
      <c r="K56" t="n">
        <v>0</v>
      </c>
      <c r="L56" t="n">
        <v>0</v>
      </c>
      <c r="M56">
        <f>F56+G56+H56+K56-I56-J56-L56</f>
        <v/>
      </c>
      <c r="N56" t="inlineStr">
        <is>
          <t>NO APLICA</t>
        </is>
      </c>
      <c r="O56" t="n">
        <v>5</v>
      </c>
      <c r="P56">
        <f>IF(M56&lt;0, "ERROR: SOBREGIRO", IF(M56=0, "SIN EXISTENCIAS", IF(M56&lt;=O56, "STOCK BAJO", "STOCK NORMAL")))</f>
        <v/>
      </c>
    </row>
    <row r="57">
      <c r="A57" t="n">
        <v>5369</v>
      </c>
      <c r="B57" t="inlineStr">
        <is>
          <t>CAJA DE PASO METALICA 20X20X10</t>
        </is>
      </c>
      <c r="C57" t="inlineStr">
        <is>
          <t>Materiales</t>
        </is>
      </c>
      <c r="D57" t="inlineStr">
        <is>
          <t>Caja</t>
        </is>
      </c>
      <c r="E57" t="inlineStr">
        <is>
          <t>CDS</t>
        </is>
      </c>
      <c r="F57" t="n">
        <v>0</v>
      </c>
      <c r="G57" t="n">
        <v>0</v>
      </c>
      <c r="H57" t="n">
        <v>0</v>
      </c>
      <c r="I57" t="n">
        <v>0</v>
      </c>
      <c r="J57" t="n">
        <v>0</v>
      </c>
      <c r="K57" t="n">
        <v>0</v>
      </c>
      <c r="L57" t="n">
        <v>0</v>
      </c>
      <c r="M57">
        <f>F57+G57+H57+K57-I57-J57-L57</f>
        <v/>
      </c>
      <c r="N57" t="inlineStr">
        <is>
          <t>NO APLICA</t>
        </is>
      </c>
      <c r="O57" t="n">
        <v>5</v>
      </c>
      <c r="P57">
        <f>IF(M57&lt;0, "ERROR: SOBREGIRO", IF(M57=0, "SIN EXISTENCIAS", IF(M57&lt;=O57, "STOCK BAJO", "STOCK NORMAL")))</f>
        <v/>
      </c>
    </row>
    <row r="58">
      <c r="A58" t="n">
        <v>5387</v>
      </c>
      <c r="B58" t="inlineStr">
        <is>
          <t>CAJA POLICARBONATO 30X22X12 IP55 STECK</t>
        </is>
      </c>
      <c r="C58" t="inlineStr">
        <is>
          <t>Materiales</t>
        </is>
      </c>
      <c r="D58" t="inlineStr">
        <is>
          <t>Caja</t>
        </is>
      </c>
      <c r="E58" t="inlineStr">
        <is>
          <t>CDS</t>
        </is>
      </c>
      <c r="F58" t="n">
        <v>0</v>
      </c>
      <c r="G58" t="n">
        <v>0</v>
      </c>
      <c r="H58" t="n">
        <v>0</v>
      </c>
      <c r="I58" t="n">
        <v>0</v>
      </c>
      <c r="J58" t="n">
        <v>0</v>
      </c>
      <c r="K58" t="n">
        <v>0</v>
      </c>
      <c r="L58" t="n">
        <v>0</v>
      </c>
      <c r="M58">
        <f>F58+G58+H58+K58-I58-J58-L58</f>
        <v/>
      </c>
      <c r="N58" t="inlineStr">
        <is>
          <t>NO APLICA</t>
        </is>
      </c>
      <c r="O58" t="n">
        <v>5</v>
      </c>
      <c r="P58">
        <f>IF(M58&lt;0, "ERROR: SOBREGIRO", IF(M58=0, "SIN EXISTENCIAS", IF(M58&lt;=O58, "STOCK BAJO", "STOCK NORMAL")))</f>
        <v/>
      </c>
    </row>
    <row r="59">
      <c r="A59" t="n">
        <v>5388</v>
      </c>
      <c r="B59" t="inlineStr">
        <is>
          <t>CAJA POLICARBONATO DOBLE FONDO 40X30X25 SCHNEIDER</t>
        </is>
      </c>
      <c r="C59" t="inlineStr">
        <is>
          <t>Materiales</t>
        </is>
      </c>
      <c r="D59" t="inlineStr">
        <is>
          <t>Caja</t>
        </is>
      </c>
      <c r="E59" t="inlineStr">
        <is>
          <t>CDS</t>
        </is>
      </c>
      <c r="F59" t="n">
        <v>0</v>
      </c>
      <c r="G59" t="n">
        <v>0</v>
      </c>
      <c r="H59" t="n">
        <v>0</v>
      </c>
      <c r="I59" t="n">
        <v>0</v>
      </c>
      <c r="J59" t="n">
        <v>0</v>
      </c>
      <c r="K59" t="n">
        <v>0</v>
      </c>
      <c r="L59" t="n">
        <v>0</v>
      </c>
      <c r="M59">
        <f>F59+G59+H59+K59-I59-J59-L59</f>
        <v/>
      </c>
      <c r="N59" t="inlineStr">
        <is>
          <t>NO APLICA</t>
        </is>
      </c>
      <c r="O59" t="n">
        <v>5</v>
      </c>
      <c r="P59">
        <f>IF(M59&lt;0, "ERROR: SOBREGIRO", IF(M59=0, "SIN EXISTENCIAS", IF(M59&lt;=O59, "STOCK BAJO", "STOCK NORMAL")))</f>
        <v/>
      </c>
    </row>
    <row r="60">
      <c r="A60" t="n">
        <v>5399</v>
      </c>
      <c r="B60" t="inlineStr">
        <is>
          <t>CHISPERO SOLDADURA EXOTERMICA</t>
        </is>
      </c>
      <c r="C60" t="inlineStr">
        <is>
          <t>Consumibles</t>
        </is>
      </c>
      <c r="D60" t="inlineStr">
        <is>
          <t>Unidad</t>
        </is>
      </c>
      <c r="E60" t="inlineStr">
        <is>
          <t>CDS</t>
        </is>
      </c>
      <c r="F60" t="n">
        <v>0</v>
      </c>
      <c r="G60" t="n">
        <v>0</v>
      </c>
      <c r="H60" t="n">
        <v>0</v>
      </c>
      <c r="I60" t="n">
        <v>0</v>
      </c>
      <c r="J60" t="n">
        <v>0</v>
      </c>
      <c r="K60" t="n">
        <v>0</v>
      </c>
      <c r="L60" t="n">
        <v>0</v>
      </c>
      <c r="M60">
        <f>F60+G60+H60+K60-I60-J60-L60</f>
        <v/>
      </c>
      <c r="N60" t="inlineStr">
        <is>
          <t>NO APLICA</t>
        </is>
      </c>
      <c r="O60" t="n">
        <v>5</v>
      </c>
      <c r="P60">
        <f>IF(M60&lt;0, "ERROR: SOBREGIRO", IF(M60=0, "SIN EXISTENCIAS", IF(M60&lt;=O60, "STOCK BAJO", "STOCK NORMAL")))</f>
        <v/>
      </c>
    </row>
    <row r="61">
      <c r="A61" t="n">
        <v>5401</v>
      </c>
      <c r="B61" t="inlineStr">
        <is>
          <t>CINTA AISLANTE AMARILLA 3M</t>
        </is>
      </c>
      <c r="C61" t="inlineStr">
        <is>
          <t>Consumibles</t>
        </is>
      </c>
      <c r="D61" t="inlineStr">
        <is>
          <t>Rollo</t>
        </is>
      </c>
      <c r="E61" t="inlineStr">
        <is>
          <t>CDS</t>
        </is>
      </c>
      <c r="F61" t="n">
        <v>0</v>
      </c>
      <c r="G61" t="n">
        <v>0</v>
      </c>
      <c r="H61" t="n">
        <v>0</v>
      </c>
      <c r="I61" t="n">
        <v>0</v>
      </c>
      <c r="J61" t="n">
        <v>0</v>
      </c>
      <c r="K61" t="n">
        <v>0</v>
      </c>
      <c r="L61" t="n">
        <v>0</v>
      </c>
      <c r="M61">
        <f>F61+G61+H61+K61-I61-J61-L61</f>
        <v/>
      </c>
      <c r="N61" t="inlineStr">
        <is>
          <t>NO APLICA</t>
        </is>
      </c>
      <c r="O61" t="n">
        <v>5</v>
      </c>
      <c r="P61">
        <f>IF(M61&lt;0, "ERROR: SOBREGIRO", IF(M61=0, "SIN EXISTENCIAS", IF(M61&lt;=O61, "STOCK BAJO", "STOCK NORMAL")))</f>
        <v/>
      </c>
    </row>
    <row r="62">
      <c r="A62" t="n">
        <v>5402</v>
      </c>
      <c r="B62" t="inlineStr">
        <is>
          <t>CINTA AISLANTE AZUL 3M</t>
        </is>
      </c>
      <c r="C62" t="inlineStr">
        <is>
          <t>Consumibles</t>
        </is>
      </c>
      <c r="D62" t="inlineStr">
        <is>
          <t>Rollo</t>
        </is>
      </c>
      <c r="E62" t="inlineStr">
        <is>
          <t>CDS</t>
        </is>
      </c>
      <c r="F62" t="n">
        <v>0</v>
      </c>
      <c r="G62" t="n">
        <v>0</v>
      </c>
      <c r="H62" t="n">
        <v>0</v>
      </c>
      <c r="I62" t="n">
        <v>0</v>
      </c>
      <c r="J62" t="n">
        <v>0</v>
      </c>
      <c r="K62" t="n">
        <v>0</v>
      </c>
      <c r="L62" t="n">
        <v>0</v>
      </c>
      <c r="M62">
        <f>F62+G62+H62+K62-I62-J62-L62</f>
        <v/>
      </c>
      <c r="N62" t="inlineStr">
        <is>
          <t>NO APLICA</t>
        </is>
      </c>
      <c r="O62" t="n">
        <v>5</v>
      </c>
      <c r="P62">
        <f>IF(M62&lt;0, "ERROR: SOBREGIRO", IF(M62=0, "SIN EXISTENCIAS", IF(M62&lt;=O62, "STOCK BAJO", "STOCK NORMAL")))</f>
        <v/>
      </c>
    </row>
    <row r="63">
      <c r="A63" t="n">
        <v>5403</v>
      </c>
      <c r="B63" t="inlineStr">
        <is>
          <t>CINTA AISLANTE BLANCA 3M</t>
        </is>
      </c>
      <c r="C63" t="inlineStr">
        <is>
          <t>Consumibles</t>
        </is>
      </c>
      <c r="D63" t="inlineStr">
        <is>
          <t>Rollo</t>
        </is>
      </c>
      <c r="E63" t="inlineStr">
        <is>
          <t>CDS</t>
        </is>
      </c>
      <c r="F63" t="n">
        <v>0</v>
      </c>
      <c r="G63" t="n">
        <v>0</v>
      </c>
      <c r="H63" t="n">
        <v>0</v>
      </c>
      <c r="I63" t="n">
        <v>0</v>
      </c>
      <c r="J63" t="n">
        <v>0</v>
      </c>
      <c r="K63" t="n">
        <v>0</v>
      </c>
      <c r="L63" t="n">
        <v>0</v>
      </c>
      <c r="M63">
        <f>F63+G63+H63+K63-I63-J63-L63</f>
        <v/>
      </c>
      <c r="N63" t="inlineStr">
        <is>
          <t>NO APLICA</t>
        </is>
      </c>
      <c r="O63" t="n">
        <v>5</v>
      </c>
      <c r="P63">
        <f>IF(M63&lt;0, "ERROR: SOBREGIRO", IF(M63=0, "SIN EXISTENCIAS", IF(M63&lt;=O63, "STOCK BAJO", "STOCK NORMAL")))</f>
        <v/>
      </c>
    </row>
    <row r="64">
      <c r="A64" t="n">
        <v>5404</v>
      </c>
      <c r="B64" t="inlineStr">
        <is>
          <t>CINTA AISLANTE CAFE 3M</t>
        </is>
      </c>
      <c r="C64" t="inlineStr">
        <is>
          <t>Consumibles</t>
        </is>
      </c>
      <c r="D64" t="inlineStr">
        <is>
          <t>Rollo</t>
        </is>
      </c>
      <c r="E64" t="inlineStr">
        <is>
          <t>CDS</t>
        </is>
      </c>
      <c r="F64" t="n">
        <v>0</v>
      </c>
      <c r="G64" t="n">
        <v>0</v>
      </c>
      <c r="H64" t="n">
        <v>0</v>
      </c>
      <c r="I64" t="n">
        <v>0</v>
      </c>
      <c r="J64" t="n">
        <v>0</v>
      </c>
      <c r="K64" t="n">
        <v>0</v>
      </c>
      <c r="L64" t="n">
        <v>0</v>
      </c>
      <c r="M64">
        <f>F64+G64+H64+K64-I64-J64-L64</f>
        <v/>
      </c>
      <c r="N64" t="inlineStr">
        <is>
          <t>NO APLICA</t>
        </is>
      </c>
      <c r="O64" t="n">
        <v>5</v>
      </c>
      <c r="P64">
        <f>IF(M64&lt;0, "ERROR: SOBREGIRO", IF(M64=0, "SIN EXISTENCIAS", IF(M64&lt;=O64, "STOCK BAJO", "STOCK NORMAL")))</f>
        <v/>
      </c>
    </row>
    <row r="65">
      <c r="A65" t="n">
        <v>5406</v>
      </c>
      <c r="B65" t="inlineStr">
        <is>
          <t>CINTA AISLANTE MORADA 3M</t>
        </is>
      </c>
      <c r="C65" t="inlineStr">
        <is>
          <t>Consumibles</t>
        </is>
      </c>
      <c r="D65" t="inlineStr">
        <is>
          <t>Rollo</t>
        </is>
      </c>
      <c r="E65" t="inlineStr">
        <is>
          <t>CDS</t>
        </is>
      </c>
      <c r="F65" t="n">
        <v>0</v>
      </c>
      <c r="G65" t="n">
        <v>0</v>
      </c>
      <c r="H65" t="n">
        <v>0</v>
      </c>
      <c r="I65" t="n">
        <v>0</v>
      </c>
      <c r="J65" t="n">
        <v>0</v>
      </c>
      <c r="K65" t="n">
        <v>0</v>
      </c>
      <c r="L65" t="n">
        <v>0</v>
      </c>
      <c r="M65">
        <f>F65+G65+H65+K65-I65-J65-L65</f>
        <v/>
      </c>
      <c r="N65" t="inlineStr">
        <is>
          <t>NO APLICA</t>
        </is>
      </c>
      <c r="O65" t="n">
        <v>5</v>
      </c>
      <c r="P65">
        <f>IF(M65&lt;0, "ERROR: SOBREGIRO", IF(M65=0, "SIN EXISTENCIAS", IF(M65&lt;=O65, "STOCK BAJO", "STOCK NORMAL")))</f>
        <v/>
      </c>
    </row>
    <row r="66">
      <c r="A66" t="n">
        <v>5407</v>
      </c>
      <c r="B66" t="inlineStr">
        <is>
          <t>CINTA AISLANTE NARANJA 3M</t>
        </is>
      </c>
      <c r="C66" t="inlineStr">
        <is>
          <t>Consumibles</t>
        </is>
      </c>
      <c r="D66" t="inlineStr">
        <is>
          <t>Rollo</t>
        </is>
      </c>
      <c r="E66" t="inlineStr">
        <is>
          <t>CDS</t>
        </is>
      </c>
      <c r="F66" t="n">
        <v>0</v>
      </c>
      <c r="G66" t="n">
        <v>0</v>
      </c>
      <c r="H66" t="n">
        <v>0</v>
      </c>
      <c r="I66" t="n">
        <v>0</v>
      </c>
      <c r="J66" t="n">
        <v>0</v>
      </c>
      <c r="K66" t="n">
        <v>0</v>
      </c>
      <c r="L66" t="n">
        <v>0</v>
      </c>
      <c r="M66">
        <f>F66+G66+H66+K66-I66-J66-L66</f>
        <v/>
      </c>
      <c r="N66" t="inlineStr">
        <is>
          <t>NO APLICA</t>
        </is>
      </c>
      <c r="O66" t="n">
        <v>5</v>
      </c>
      <c r="P66">
        <f>IF(M66&lt;0, "ERROR: SOBREGIRO", IF(M66=0, "SIN EXISTENCIAS", IF(M66&lt;=O66, "STOCK BAJO", "STOCK NORMAL")))</f>
        <v/>
      </c>
    </row>
    <row r="67">
      <c r="A67" t="n">
        <v>5408</v>
      </c>
      <c r="B67" t="inlineStr">
        <is>
          <t>CINTA AISLANTE NEGRA 3M</t>
        </is>
      </c>
      <c r="C67" t="inlineStr">
        <is>
          <t>Consumibles</t>
        </is>
      </c>
      <c r="D67" t="inlineStr">
        <is>
          <t>Rollo</t>
        </is>
      </c>
      <c r="E67" t="inlineStr">
        <is>
          <t>CDS</t>
        </is>
      </c>
      <c r="F67" t="n">
        <v>0</v>
      </c>
      <c r="G67" t="n">
        <v>0</v>
      </c>
      <c r="H67" t="n">
        <v>0</v>
      </c>
      <c r="I67" t="n">
        <v>0</v>
      </c>
      <c r="J67" t="n">
        <v>0</v>
      </c>
      <c r="K67" t="n">
        <v>0</v>
      </c>
      <c r="L67" t="n">
        <v>0</v>
      </c>
      <c r="M67">
        <f>F67+G67+H67+K67-I67-J67-L67</f>
        <v/>
      </c>
      <c r="N67" t="inlineStr">
        <is>
          <t>NO APLICA</t>
        </is>
      </c>
      <c r="O67" t="n">
        <v>5</v>
      </c>
      <c r="P67">
        <f>IF(M67&lt;0, "ERROR: SOBREGIRO", IF(M67=0, "SIN EXISTENCIAS", IF(M67&lt;=O67, "STOCK BAJO", "STOCK NORMAL")))</f>
        <v/>
      </c>
    </row>
    <row r="68">
      <c r="A68" t="n">
        <v>5409</v>
      </c>
      <c r="B68" t="inlineStr">
        <is>
          <t>CINTA AISLANTE ROJA 3M</t>
        </is>
      </c>
      <c r="C68" t="inlineStr">
        <is>
          <t>Consumibles</t>
        </is>
      </c>
      <c r="D68" t="inlineStr">
        <is>
          <t>Rollo</t>
        </is>
      </c>
      <c r="E68" t="inlineStr">
        <is>
          <t>CDS</t>
        </is>
      </c>
      <c r="F68" t="n">
        <v>0</v>
      </c>
      <c r="G68" t="n">
        <v>0</v>
      </c>
      <c r="H68" t="n">
        <v>0</v>
      </c>
      <c r="I68" t="n">
        <v>0</v>
      </c>
      <c r="J68" t="n">
        <v>0</v>
      </c>
      <c r="K68" t="n">
        <v>0</v>
      </c>
      <c r="L68" t="n">
        <v>0</v>
      </c>
      <c r="M68">
        <f>F68+G68+H68+K68-I68-J68-L68</f>
        <v/>
      </c>
      <c r="N68" t="inlineStr">
        <is>
          <t>NO APLICA</t>
        </is>
      </c>
      <c r="O68" t="n">
        <v>5</v>
      </c>
      <c r="P68">
        <f>IF(M68&lt;0, "ERROR: SOBREGIRO", IF(M68=0, "SIN EXISTENCIAS", IF(M68&lt;=O68, "STOCK BAJO", "STOCK NORMAL")))</f>
        <v/>
      </c>
    </row>
    <row r="69">
      <c r="A69" t="n">
        <v>5410</v>
      </c>
      <c r="B69" t="inlineStr">
        <is>
          <t>CINTA AISLANTE VERDE 3M</t>
        </is>
      </c>
      <c r="C69" t="inlineStr">
        <is>
          <t>Consumibles</t>
        </is>
      </c>
      <c r="D69" t="inlineStr">
        <is>
          <t>Rollo</t>
        </is>
      </c>
      <c r="E69" t="inlineStr">
        <is>
          <t>CDS</t>
        </is>
      </c>
      <c r="F69" t="n">
        <v>0</v>
      </c>
      <c r="G69" t="n">
        <v>0</v>
      </c>
      <c r="H69" t="n">
        <v>0</v>
      </c>
      <c r="I69" t="n">
        <v>0</v>
      </c>
      <c r="J69" t="n">
        <v>0</v>
      </c>
      <c r="K69" t="n">
        <v>0</v>
      </c>
      <c r="L69" t="n">
        <v>0</v>
      </c>
      <c r="M69">
        <f>F69+G69+H69+K69-I69-J69-L69</f>
        <v/>
      </c>
      <c r="N69" t="inlineStr">
        <is>
          <t>NO APLICA</t>
        </is>
      </c>
      <c r="O69" t="n">
        <v>5</v>
      </c>
      <c r="P69">
        <f>IF(M69&lt;0, "ERROR: SOBREGIRO", IF(M69=0, "SIN EXISTENCIAS", IF(M69&lt;=O69, "STOCK BAJO", "STOCK NORMAL")))</f>
        <v/>
      </c>
    </row>
    <row r="70">
      <c r="A70" t="n">
        <v>5411</v>
      </c>
      <c r="B70" t="inlineStr">
        <is>
          <t>CINTA AISLANTE VINILO SCOTCH SUPER 23+ 3M</t>
        </is>
      </c>
      <c r="C70" t="inlineStr">
        <is>
          <t>Consumibles</t>
        </is>
      </c>
      <c r="D70" t="inlineStr">
        <is>
          <t>Rollo</t>
        </is>
      </c>
      <c r="E70" t="inlineStr">
        <is>
          <t>CDS</t>
        </is>
      </c>
      <c r="F70" t="n">
        <v>0</v>
      </c>
      <c r="G70" t="n">
        <v>0</v>
      </c>
      <c r="H70" t="n">
        <v>0</v>
      </c>
      <c r="I70" t="n">
        <v>0</v>
      </c>
      <c r="J70" t="n">
        <v>0</v>
      </c>
      <c r="K70" t="n">
        <v>0</v>
      </c>
      <c r="L70" t="n">
        <v>0</v>
      </c>
      <c r="M70">
        <f>F70+G70+H70+K70-I70-J70-L70</f>
        <v/>
      </c>
      <c r="N70" t="inlineStr">
        <is>
          <t>NO APLICA</t>
        </is>
      </c>
      <c r="O70" t="n">
        <v>5</v>
      </c>
      <c r="P70">
        <f>IF(M70&lt;0, "ERROR: SOBREGIRO", IF(M70=0, "SIN EXISTENCIAS", IF(M70&lt;=O70, "STOCK BAJO", "STOCK NORMAL")))</f>
        <v/>
      </c>
    </row>
    <row r="71">
      <c r="A71" t="n">
        <v>5412</v>
      </c>
      <c r="B71" t="inlineStr">
        <is>
          <t>CINTA AISLANTE VINILO SCOTCH SUPER 33+ 3M</t>
        </is>
      </c>
      <c r="C71" t="inlineStr">
        <is>
          <t>Consumibles</t>
        </is>
      </c>
      <c r="D71" t="inlineStr">
        <is>
          <t>Rollo</t>
        </is>
      </c>
      <c r="E71" t="inlineStr">
        <is>
          <t>CDS</t>
        </is>
      </c>
      <c r="F71" t="n">
        <v>0</v>
      </c>
      <c r="G71" t="n">
        <v>0</v>
      </c>
      <c r="H71" t="n">
        <v>0</v>
      </c>
      <c r="I71" t="n">
        <v>0</v>
      </c>
      <c r="J71" t="n">
        <v>0</v>
      </c>
      <c r="K71" t="n">
        <v>0</v>
      </c>
      <c r="L71" t="n">
        <v>0</v>
      </c>
      <c r="M71">
        <f>F71+G71+H71+K71-I71-J71-L71</f>
        <v/>
      </c>
      <c r="N71" t="inlineStr">
        <is>
          <t>NO APLICA</t>
        </is>
      </c>
      <c r="O71" t="n">
        <v>5</v>
      </c>
      <c r="P71">
        <f>IF(M71&lt;0, "ERROR: SOBREGIRO", IF(M71=0, "SIN EXISTENCIAS", IF(M71&lt;=O71, "STOCK BAJO", "STOCK NORMAL")))</f>
        <v/>
      </c>
    </row>
    <row r="72">
      <c r="A72" t="n">
        <v>5413</v>
      </c>
      <c r="B72" t="inlineStr">
        <is>
          <t>CINTA ASFALTICA ALUMINIO 30CM X 10MT TEXA</t>
        </is>
      </c>
      <c r="C72" t="inlineStr">
        <is>
          <t>Consumibles</t>
        </is>
      </c>
      <c r="D72" t="inlineStr">
        <is>
          <t>Rollo</t>
        </is>
      </c>
      <c r="E72" t="inlineStr">
        <is>
          <t>CDS</t>
        </is>
      </c>
      <c r="F72" t="n">
        <v>0</v>
      </c>
      <c r="G72" t="n">
        <v>0</v>
      </c>
      <c r="H72" t="n">
        <v>0</v>
      </c>
      <c r="I72" t="n">
        <v>0</v>
      </c>
      <c r="J72" t="n">
        <v>0</v>
      </c>
      <c r="K72" t="n">
        <v>0</v>
      </c>
      <c r="L72" t="n">
        <v>0</v>
      </c>
      <c r="M72">
        <f>F72+G72+H72+K72-I72-J72-L72</f>
        <v/>
      </c>
      <c r="N72" t="inlineStr">
        <is>
          <t>NO APLICA</t>
        </is>
      </c>
      <c r="O72" t="n">
        <v>5</v>
      </c>
      <c r="P72">
        <f>IF(M72&lt;0, "ERROR: SOBREGIRO", IF(M72=0, "SIN EXISTENCIAS", IF(M72&lt;=O72, "STOCK BAJO", "STOCK NORMAL")))</f>
        <v/>
      </c>
    </row>
    <row r="73">
      <c r="A73" t="n">
        <v>5414</v>
      </c>
      <c r="B73" t="inlineStr">
        <is>
          <t>CINTA ASFALTICA ALUMINIO 33CM X 5MT TEXA</t>
        </is>
      </c>
      <c r="C73" t="inlineStr">
        <is>
          <t>Consumibles</t>
        </is>
      </c>
      <c r="D73" t="inlineStr">
        <is>
          <t>Rollo</t>
        </is>
      </c>
      <c r="E73" t="inlineStr">
        <is>
          <t>CDS</t>
        </is>
      </c>
      <c r="F73" t="n">
        <v>0</v>
      </c>
      <c r="G73" t="n">
        <v>0</v>
      </c>
      <c r="H73" t="n">
        <v>0</v>
      </c>
      <c r="I73" t="n">
        <v>0</v>
      </c>
      <c r="J73" t="n">
        <v>0</v>
      </c>
      <c r="K73" t="n">
        <v>0</v>
      </c>
      <c r="L73" t="n">
        <v>0</v>
      </c>
      <c r="M73">
        <f>F73+G73+H73+K73-I73-J73-L73</f>
        <v/>
      </c>
      <c r="N73" t="inlineStr">
        <is>
          <t>NO APLICA</t>
        </is>
      </c>
      <c r="O73" t="n">
        <v>5</v>
      </c>
      <c r="P73">
        <f>IF(M73&lt;0, "ERROR: SOBREGIRO", IF(M73=0, "SIN EXISTENCIAS", IF(M73&lt;=O73, "STOCK BAJO", "STOCK NORMAL")))</f>
        <v/>
      </c>
    </row>
    <row r="74">
      <c r="A74" t="n">
        <v>5417</v>
      </c>
      <c r="B74" t="inlineStr">
        <is>
          <t>CINTA ENMASCARAR 40MM</t>
        </is>
      </c>
      <c r="C74" t="inlineStr">
        <is>
          <t>Consumibles</t>
        </is>
      </c>
      <c r="D74" t="inlineStr">
        <is>
          <t>Rollo</t>
        </is>
      </c>
      <c r="E74" t="inlineStr">
        <is>
          <t>CDS</t>
        </is>
      </c>
      <c r="F74" t="n">
        <v>0</v>
      </c>
      <c r="G74" t="n">
        <v>0</v>
      </c>
      <c r="H74" t="n">
        <v>0</v>
      </c>
      <c r="I74" t="n">
        <v>0</v>
      </c>
      <c r="J74" t="n">
        <v>0</v>
      </c>
      <c r="K74" t="n">
        <v>0</v>
      </c>
      <c r="L74" t="n">
        <v>0</v>
      </c>
      <c r="M74">
        <f>F74+G74+H74+K74-I74-J74-L74</f>
        <v/>
      </c>
      <c r="N74" t="inlineStr">
        <is>
          <t>NO APLICA</t>
        </is>
      </c>
      <c r="O74" t="n">
        <v>5</v>
      </c>
      <c r="P74">
        <f>IF(M74&lt;0, "ERROR: SOBREGIRO", IF(M74=0, "SIN EXISTENCIAS", IF(M74&lt;=O74, "STOCK BAJO", "STOCK NORMAL")))</f>
        <v/>
      </c>
    </row>
    <row r="75">
      <c r="A75" t="n">
        <v>5419</v>
      </c>
      <c r="B75" t="inlineStr">
        <is>
          <t>CINTA PELIGRO ROJA (RIESGO ELECTRICO)</t>
        </is>
      </c>
      <c r="C75" t="inlineStr">
        <is>
          <t>Consumibles</t>
        </is>
      </c>
      <c r="D75" t="inlineStr">
        <is>
          <t>Rollo</t>
        </is>
      </c>
      <c r="E75" t="inlineStr">
        <is>
          <t>CDS</t>
        </is>
      </c>
      <c r="F75" t="n">
        <v>27</v>
      </c>
      <c r="G75" t="n">
        <v>0</v>
      </c>
      <c r="H75" t="n">
        <v>0</v>
      </c>
      <c r="I75" t="n">
        <v>0</v>
      </c>
      <c r="J75" t="n">
        <v>0</v>
      </c>
      <c r="K75" t="n">
        <v>0</v>
      </c>
      <c r="L75" t="n">
        <v>0</v>
      </c>
      <c r="M75">
        <f>F75+G75+H75+K75-I75-J75-L75</f>
        <v/>
      </c>
      <c r="N75" t="inlineStr">
        <is>
          <t>NO APLICA</t>
        </is>
      </c>
      <c r="O75" t="n">
        <v>5</v>
      </c>
      <c r="P75">
        <f>IF(M75&lt;0, "ERROR: SOBREGIRO", IF(M75=0, "SIN EXISTENCIAS", IF(M75&lt;=O75, "STOCK BAJO", "STOCK NORMAL")))</f>
        <v/>
      </c>
    </row>
    <row r="76">
      <c r="A76" t="n">
        <v>5420</v>
      </c>
      <c r="B76" t="inlineStr">
        <is>
          <t>CINTA PREVENCION AMARILLA</t>
        </is>
      </c>
      <c r="C76" t="inlineStr">
        <is>
          <t>Consumibles</t>
        </is>
      </c>
      <c r="D76" t="inlineStr">
        <is>
          <t>Rollo</t>
        </is>
      </c>
      <c r="E76" t="inlineStr">
        <is>
          <t>CDS</t>
        </is>
      </c>
      <c r="F76" t="n">
        <v>4</v>
      </c>
      <c r="G76" t="n">
        <v>0</v>
      </c>
      <c r="H76" t="n">
        <v>0</v>
      </c>
      <c r="I76" t="n">
        <v>0</v>
      </c>
      <c r="J76" t="n">
        <v>0</v>
      </c>
      <c r="K76" t="n">
        <v>0</v>
      </c>
      <c r="L76" t="n">
        <v>0</v>
      </c>
      <c r="M76">
        <f>F76+G76+H76+K76-I76-J76-L76</f>
        <v/>
      </c>
      <c r="N76" t="inlineStr">
        <is>
          <t>NO APLICA</t>
        </is>
      </c>
      <c r="O76" t="n">
        <v>5</v>
      </c>
      <c r="P76">
        <f>IF(M76&lt;0, "ERROR: SOBREGIRO", IF(M76=0, "SIN EXISTENCIAS", IF(M76&lt;=O76, "STOCK BAJO", "STOCK NORMAL")))</f>
        <v/>
      </c>
    </row>
    <row r="77">
      <c r="A77" t="n">
        <v>5421</v>
      </c>
      <c r="B77" t="inlineStr">
        <is>
          <t>CINTA ROTULADOR PAPEL</t>
        </is>
      </c>
      <c r="C77" t="inlineStr">
        <is>
          <t>Consumibles</t>
        </is>
      </c>
      <c r="D77" t="inlineStr">
        <is>
          <t>Rollo</t>
        </is>
      </c>
      <c r="E77" t="inlineStr">
        <is>
          <t>CDS</t>
        </is>
      </c>
      <c r="F77" t="n">
        <v>0</v>
      </c>
      <c r="G77" t="n">
        <v>0</v>
      </c>
      <c r="H77" t="n">
        <v>0</v>
      </c>
      <c r="I77" t="n">
        <v>0</v>
      </c>
      <c r="J77" t="n">
        <v>0</v>
      </c>
      <c r="K77" t="n">
        <v>0</v>
      </c>
      <c r="L77" t="n">
        <v>0</v>
      </c>
      <c r="M77">
        <f>F77+G77+H77+K77-I77-J77-L77</f>
        <v/>
      </c>
      <c r="N77" t="inlineStr">
        <is>
          <t>NO APLICA</t>
        </is>
      </c>
      <c r="O77" t="n">
        <v>5</v>
      </c>
      <c r="P77">
        <f>IF(M77&lt;0, "ERROR: SOBREGIRO", IF(M77=0, "SIN EXISTENCIAS", IF(M77&lt;=O77, "STOCK BAJO", "STOCK NORMAL")))</f>
        <v/>
      </c>
    </row>
    <row r="78">
      <c r="A78" t="n">
        <v>5426</v>
      </c>
      <c r="B78" t="inlineStr">
        <is>
          <t>CLAVIJA MACHO</t>
        </is>
      </c>
      <c r="C78" t="inlineStr">
        <is>
          <t>Materiales</t>
        </is>
      </c>
      <c r="D78" t="inlineStr">
        <is>
          <t>Unidad</t>
        </is>
      </c>
      <c r="E78" t="inlineStr">
        <is>
          <t>CDS</t>
        </is>
      </c>
      <c r="F78" t="n">
        <v>0</v>
      </c>
      <c r="G78" t="n">
        <v>0</v>
      </c>
      <c r="H78" t="n">
        <v>0</v>
      </c>
      <c r="I78" t="n">
        <v>0</v>
      </c>
      <c r="J78" t="n">
        <v>0</v>
      </c>
      <c r="K78" t="n">
        <v>0</v>
      </c>
      <c r="L78" t="n">
        <v>0</v>
      </c>
      <c r="M78">
        <f>F78+G78+H78+K78-I78-J78-L78</f>
        <v/>
      </c>
      <c r="N78" t="inlineStr">
        <is>
          <t>NO APLICA</t>
        </is>
      </c>
      <c r="O78" t="n">
        <v>5</v>
      </c>
      <c r="P78">
        <f>IF(M78&lt;0, "ERROR: SOBREGIRO", IF(M78=0, "SIN EXISTENCIAS", IF(M78&lt;=O78, "STOCK BAJO", "STOCK NORMAL")))</f>
        <v/>
      </c>
    </row>
    <row r="79">
      <c r="A79" t="n">
        <v>5427</v>
      </c>
      <c r="B79" t="inlineStr">
        <is>
          <t>CONECTOR CORAZA CURVO 1 1/2"</t>
        </is>
      </c>
      <c r="C79" t="inlineStr">
        <is>
          <t>Materiales</t>
        </is>
      </c>
      <c r="D79" t="inlineStr">
        <is>
          <t>Unidad</t>
        </is>
      </c>
      <c r="E79" t="inlineStr">
        <is>
          <t>CDS</t>
        </is>
      </c>
      <c r="F79" t="n">
        <v>0</v>
      </c>
      <c r="G79" t="n">
        <v>0</v>
      </c>
      <c r="H79" t="n">
        <v>0</v>
      </c>
      <c r="I79" t="n">
        <v>0</v>
      </c>
      <c r="J79" t="n">
        <v>0</v>
      </c>
      <c r="K79" t="n">
        <v>0</v>
      </c>
      <c r="L79" t="n">
        <v>0</v>
      </c>
      <c r="M79">
        <f>F79+G79+H79+K79-I79-J79-L79</f>
        <v/>
      </c>
      <c r="N79" t="inlineStr">
        <is>
          <t>NO APLICA</t>
        </is>
      </c>
      <c r="O79" t="n">
        <v>5</v>
      </c>
      <c r="P79">
        <f>IF(M79&lt;0, "ERROR: SOBREGIRO", IF(M79=0, "SIN EXISTENCIAS", IF(M79&lt;=O79, "STOCK BAJO", "STOCK NORMAL")))</f>
        <v/>
      </c>
    </row>
    <row r="80">
      <c r="A80" t="n">
        <v>5428</v>
      </c>
      <c r="B80" t="inlineStr">
        <is>
          <t>CONECTOR CORAZA CURVO 1 1/4"</t>
        </is>
      </c>
      <c r="C80" t="inlineStr">
        <is>
          <t>Materiales</t>
        </is>
      </c>
      <c r="D80" t="inlineStr">
        <is>
          <t>Unidad</t>
        </is>
      </c>
      <c r="E80" t="inlineStr">
        <is>
          <t>CDS</t>
        </is>
      </c>
      <c r="F80" t="n">
        <v>0</v>
      </c>
      <c r="G80" t="n">
        <v>0</v>
      </c>
      <c r="H80" t="n">
        <v>0</v>
      </c>
      <c r="I80" t="n">
        <v>0</v>
      </c>
      <c r="J80" t="n">
        <v>0</v>
      </c>
      <c r="K80" t="n">
        <v>0</v>
      </c>
      <c r="L80" t="n">
        <v>0</v>
      </c>
      <c r="M80">
        <f>F80+G80+H80+K80-I80-J80-L80</f>
        <v/>
      </c>
      <c r="N80" t="inlineStr">
        <is>
          <t>NO APLICA</t>
        </is>
      </c>
      <c r="O80" t="n">
        <v>5</v>
      </c>
      <c r="P80">
        <f>IF(M80&lt;0, "ERROR: SOBREGIRO", IF(M80=0, "SIN EXISTENCIAS", IF(M80&lt;=O80, "STOCK BAJO", "STOCK NORMAL")))</f>
        <v/>
      </c>
    </row>
    <row r="81">
      <c r="A81" t="n">
        <v>5429</v>
      </c>
      <c r="B81" t="inlineStr">
        <is>
          <t>CONECTOR CORAZA CURVO 1"</t>
        </is>
      </c>
      <c r="C81" t="inlineStr">
        <is>
          <t>Materiales</t>
        </is>
      </c>
      <c r="D81" t="inlineStr">
        <is>
          <t>Unidad</t>
        </is>
      </c>
      <c r="E81" t="inlineStr">
        <is>
          <t>CDS</t>
        </is>
      </c>
      <c r="F81" t="n">
        <v>0</v>
      </c>
      <c r="G81" t="n">
        <v>0</v>
      </c>
      <c r="H81" t="n">
        <v>0</v>
      </c>
      <c r="I81" t="n">
        <v>0</v>
      </c>
      <c r="J81" t="n">
        <v>0</v>
      </c>
      <c r="K81" t="n">
        <v>0</v>
      </c>
      <c r="L81" t="n">
        <v>0</v>
      </c>
      <c r="M81">
        <f>F81+G81+H81+K81-I81-J81-L81</f>
        <v/>
      </c>
      <c r="N81" t="inlineStr">
        <is>
          <t>NO APLICA</t>
        </is>
      </c>
      <c r="O81" t="n">
        <v>5</v>
      </c>
      <c r="P81">
        <f>IF(M81&lt;0, "ERROR: SOBREGIRO", IF(M81=0, "SIN EXISTENCIAS", IF(M81&lt;=O81, "STOCK BAJO", "STOCK NORMAL")))</f>
        <v/>
      </c>
    </row>
    <row r="82">
      <c r="A82" t="n">
        <v>5430</v>
      </c>
      <c r="B82" t="inlineStr">
        <is>
          <t>CONECTOR CORAZA CURVO 2 1/2"</t>
        </is>
      </c>
      <c r="C82" t="inlineStr">
        <is>
          <t>Materiales</t>
        </is>
      </c>
      <c r="D82" t="inlineStr">
        <is>
          <t>Unidad</t>
        </is>
      </c>
      <c r="E82" t="inlineStr">
        <is>
          <t>CDS</t>
        </is>
      </c>
      <c r="F82" t="n">
        <v>0</v>
      </c>
      <c r="G82" t="n">
        <v>0</v>
      </c>
      <c r="H82" t="n">
        <v>0</v>
      </c>
      <c r="I82" t="n">
        <v>0</v>
      </c>
      <c r="J82" t="n">
        <v>0</v>
      </c>
      <c r="K82" t="n">
        <v>0</v>
      </c>
      <c r="L82" t="n">
        <v>0</v>
      </c>
      <c r="M82">
        <f>F82+G82+H82+K82-I82-J82-L82</f>
        <v/>
      </c>
      <c r="N82" t="inlineStr">
        <is>
          <t>NO APLICA</t>
        </is>
      </c>
      <c r="O82" t="n">
        <v>5</v>
      </c>
      <c r="P82">
        <f>IF(M82&lt;0, "ERROR: SOBREGIRO", IF(M82=0, "SIN EXISTENCIAS", IF(M82&lt;=O82, "STOCK BAJO", "STOCK NORMAL")))</f>
        <v/>
      </c>
    </row>
    <row r="83">
      <c r="A83" t="n">
        <v>5431</v>
      </c>
      <c r="B83" t="inlineStr">
        <is>
          <t>CONECTOR CORAZA CURVO 2"</t>
        </is>
      </c>
      <c r="C83" t="inlineStr">
        <is>
          <t>Materiales</t>
        </is>
      </c>
      <c r="D83" t="inlineStr">
        <is>
          <t>Unidad</t>
        </is>
      </c>
      <c r="E83" t="inlineStr">
        <is>
          <t>CDS</t>
        </is>
      </c>
      <c r="F83" t="n">
        <v>0</v>
      </c>
      <c r="G83" t="n">
        <v>0</v>
      </c>
      <c r="H83" t="n">
        <v>0</v>
      </c>
      <c r="I83" t="n">
        <v>0</v>
      </c>
      <c r="J83" t="n">
        <v>0</v>
      </c>
      <c r="K83" t="n">
        <v>0</v>
      </c>
      <c r="L83" t="n">
        <v>0</v>
      </c>
      <c r="M83">
        <f>F83+G83+H83+K83-I83-J83-L83</f>
        <v/>
      </c>
      <c r="N83" t="inlineStr">
        <is>
          <t>NO APLICA</t>
        </is>
      </c>
      <c r="O83" t="n">
        <v>5</v>
      </c>
      <c r="P83">
        <f>IF(M83&lt;0, "ERROR: SOBREGIRO", IF(M83=0, "SIN EXISTENCIAS", IF(M83&lt;=O83, "STOCK BAJO", "STOCK NORMAL")))</f>
        <v/>
      </c>
    </row>
    <row r="84">
      <c r="A84" t="n">
        <v>5432</v>
      </c>
      <c r="B84" t="inlineStr">
        <is>
          <t>CONECTOR CORAZA CURVO 3/4"</t>
        </is>
      </c>
      <c r="C84" t="inlineStr">
        <is>
          <t>Materiales</t>
        </is>
      </c>
      <c r="D84" t="inlineStr">
        <is>
          <t>Unidad</t>
        </is>
      </c>
      <c r="E84" t="inlineStr">
        <is>
          <t>CDS</t>
        </is>
      </c>
      <c r="F84" t="n">
        <v>0</v>
      </c>
      <c r="G84" t="n">
        <v>0</v>
      </c>
      <c r="H84" t="n">
        <v>0</v>
      </c>
      <c r="I84" t="n">
        <v>0</v>
      </c>
      <c r="J84" t="n">
        <v>0</v>
      </c>
      <c r="K84" t="n">
        <v>0</v>
      </c>
      <c r="L84" t="n">
        <v>0</v>
      </c>
      <c r="M84">
        <f>F84+G84+H84+K84-I84-J84-L84</f>
        <v/>
      </c>
      <c r="N84" t="inlineStr">
        <is>
          <t>NO APLICA</t>
        </is>
      </c>
      <c r="O84" t="n">
        <v>5</v>
      </c>
      <c r="P84">
        <f>IF(M84&lt;0, "ERROR: SOBREGIRO", IF(M84=0, "SIN EXISTENCIAS", IF(M84&lt;=O84, "STOCK BAJO", "STOCK NORMAL")))</f>
        <v/>
      </c>
    </row>
    <row r="85">
      <c r="A85" t="n">
        <v>5433</v>
      </c>
      <c r="B85" t="inlineStr">
        <is>
          <t>CONECTOR CORAZA RECTO 1 1/2"</t>
        </is>
      </c>
      <c r="C85" t="inlineStr">
        <is>
          <t>Materiales</t>
        </is>
      </c>
      <c r="D85" t="inlineStr">
        <is>
          <t>Unidad</t>
        </is>
      </c>
      <c r="E85" t="inlineStr">
        <is>
          <t>CDS</t>
        </is>
      </c>
      <c r="F85" t="n">
        <v>0</v>
      </c>
      <c r="G85" t="n">
        <v>0</v>
      </c>
      <c r="H85" t="n">
        <v>0</v>
      </c>
      <c r="I85" t="n">
        <v>0</v>
      </c>
      <c r="J85" t="n">
        <v>0</v>
      </c>
      <c r="K85" t="n">
        <v>0</v>
      </c>
      <c r="L85" t="n">
        <v>0</v>
      </c>
      <c r="M85">
        <f>F85+G85+H85+K85-I85-J85-L85</f>
        <v/>
      </c>
      <c r="N85" t="inlineStr">
        <is>
          <t>NO APLICA</t>
        </is>
      </c>
      <c r="O85" t="n">
        <v>5</v>
      </c>
      <c r="P85">
        <f>IF(M85&lt;0, "ERROR: SOBREGIRO", IF(M85=0, "SIN EXISTENCIAS", IF(M85&lt;=O85, "STOCK BAJO", "STOCK NORMAL")))</f>
        <v/>
      </c>
    </row>
    <row r="86">
      <c r="A86" t="n">
        <v>5434</v>
      </c>
      <c r="B86" t="inlineStr">
        <is>
          <t>CONECTOR CORAZA RECTO 1 1/4"</t>
        </is>
      </c>
      <c r="C86" t="inlineStr">
        <is>
          <t>Materiales</t>
        </is>
      </c>
      <c r="D86" t="inlineStr">
        <is>
          <t>Unidad</t>
        </is>
      </c>
      <c r="E86" t="inlineStr">
        <is>
          <t>CDS</t>
        </is>
      </c>
      <c r="F86" t="n">
        <v>0</v>
      </c>
      <c r="G86" t="n">
        <v>0</v>
      </c>
      <c r="H86" t="n">
        <v>0</v>
      </c>
      <c r="I86" t="n">
        <v>0</v>
      </c>
      <c r="J86" t="n">
        <v>0</v>
      </c>
      <c r="K86" t="n">
        <v>0</v>
      </c>
      <c r="L86" t="n">
        <v>0</v>
      </c>
      <c r="M86">
        <f>F86+G86+H86+K86-I86-J86-L86</f>
        <v/>
      </c>
      <c r="N86" t="inlineStr">
        <is>
          <t>NO APLICA</t>
        </is>
      </c>
      <c r="O86" t="n">
        <v>5</v>
      </c>
      <c r="P86">
        <f>IF(M86&lt;0, "ERROR: SOBREGIRO", IF(M86=0, "SIN EXISTENCIAS", IF(M86&lt;=O86, "STOCK BAJO", "STOCK NORMAL")))</f>
        <v/>
      </c>
    </row>
    <row r="87">
      <c r="A87" t="n">
        <v>5435</v>
      </c>
      <c r="B87" t="inlineStr">
        <is>
          <t>CONECTOR CORAZA RECTO 1"</t>
        </is>
      </c>
      <c r="C87" t="inlineStr">
        <is>
          <t>Materiales</t>
        </is>
      </c>
      <c r="D87" t="inlineStr">
        <is>
          <t>Unidad</t>
        </is>
      </c>
      <c r="E87" t="inlineStr">
        <is>
          <t>CDS</t>
        </is>
      </c>
      <c r="F87" t="n">
        <v>0</v>
      </c>
      <c r="G87" t="n">
        <v>0</v>
      </c>
      <c r="H87" t="n">
        <v>0</v>
      </c>
      <c r="I87" t="n">
        <v>0</v>
      </c>
      <c r="J87" t="n">
        <v>0</v>
      </c>
      <c r="K87" t="n">
        <v>0</v>
      </c>
      <c r="L87" t="n">
        <v>0</v>
      </c>
      <c r="M87">
        <f>F87+G87+H87+K87-I87-J87-L87</f>
        <v/>
      </c>
      <c r="N87" t="inlineStr">
        <is>
          <t>NO APLICA</t>
        </is>
      </c>
      <c r="O87" t="n">
        <v>5</v>
      </c>
      <c r="P87">
        <f>IF(M87&lt;0, "ERROR: SOBREGIRO", IF(M87=0, "SIN EXISTENCIAS", IF(M87&lt;=O87, "STOCK BAJO", "STOCK NORMAL")))</f>
        <v/>
      </c>
    </row>
    <row r="88">
      <c r="A88" t="n">
        <v>5436</v>
      </c>
      <c r="B88" t="inlineStr">
        <is>
          <t>CONECTOR CORAZA RECTO 1/2"</t>
        </is>
      </c>
      <c r="C88" t="inlineStr">
        <is>
          <t>Materiales</t>
        </is>
      </c>
      <c r="D88" t="inlineStr">
        <is>
          <t>Unidad</t>
        </is>
      </c>
      <c r="E88" t="inlineStr">
        <is>
          <t>CDS</t>
        </is>
      </c>
      <c r="F88" t="n">
        <v>0</v>
      </c>
      <c r="G88" t="n">
        <v>0</v>
      </c>
      <c r="H88" t="n">
        <v>0</v>
      </c>
      <c r="I88" t="n">
        <v>0</v>
      </c>
      <c r="J88" t="n">
        <v>0</v>
      </c>
      <c r="K88" t="n">
        <v>0</v>
      </c>
      <c r="L88" t="n">
        <v>0</v>
      </c>
      <c r="M88">
        <f>F88+G88+H88+K88-I88-J88-L88</f>
        <v/>
      </c>
      <c r="N88" t="inlineStr">
        <is>
          <t>NO APLICA</t>
        </is>
      </c>
      <c r="O88" t="n">
        <v>5</v>
      </c>
      <c r="P88">
        <f>IF(M88&lt;0, "ERROR: SOBREGIRO", IF(M88=0, "SIN EXISTENCIAS", IF(M88&lt;=O88, "STOCK BAJO", "STOCK NORMAL")))</f>
        <v/>
      </c>
    </row>
    <row r="89">
      <c r="A89" t="n">
        <v>5437</v>
      </c>
      <c r="B89" t="inlineStr">
        <is>
          <t>CONECTOR CORAZA RECTO 2 1/2"</t>
        </is>
      </c>
      <c r="C89" t="inlineStr">
        <is>
          <t>Materiales</t>
        </is>
      </c>
      <c r="D89" t="inlineStr">
        <is>
          <t>Unidad</t>
        </is>
      </c>
      <c r="E89" t="inlineStr">
        <is>
          <t>CDS</t>
        </is>
      </c>
      <c r="F89" t="n">
        <v>0</v>
      </c>
      <c r="G89" t="n">
        <v>0</v>
      </c>
      <c r="H89" t="n">
        <v>0</v>
      </c>
      <c r="I89" t="n">
        <v>0</v>
      </c>
      <c r="J89" t="n">
        <v>0</v>
      </c>
      <c r="K89" t="n">
        <v>0</v>
      </c>
      <c r="L89" t="n">
        <v>0</v>
      </c>
      <c r="M89">
        <f>F89+G89+H89+K89-I89-J89-L89</f>
        <v/>
      </c>
      <c r="N89" t="inlineStr">
        <is>
          <t>NO APLICA</t>
        </is>
      </c>
      <c r="O89" t="n">
        <v>5</v>
      </c>
      <c r="P89">
        <f>IF(M89&lt;0, "ERROR: SOBREGIRO", IF(M89=0, "SIN EXISTENCIAS", IF(M89&lt;=O89, "STOCK BAJO", "STOCK NORMAL")))</f>
        <v/>
      </c>
    </row>
    <row r="90">
      <c r="A90" t="n">
        <v>5438</v>
      </c>
      <c r="B90" t="inlineStr">
        <is>
          <t>CONECTOR CORAZA RECTO 2"</t>
        </is>
      </c>
      <c r="C90" t="inlineStr">
        <is>
          <t>Materiales</t>
        </is>
      </c>
      <c r="D90" t="inlineStr">
        <is>
          <t>Unidad</t>
        </is>
      </c>
      <c r="E90" t="inlineStr">
        <is>
          <t>CDS</t>
        </is>
      </c>
      <c r="F90" t="n">
        <v>0</v>
      </c>
      <c r="G90" t="n">
        <v>0</v>
      </c>
      <c r="H90" t="n">
        <v>0</v>
      </c>
      <c r="I90" t="n">
        <v>0</v>
      </c>
      <c r="J90" t="n">
        <v>0</v>
      </c>
      <c r="K90" t="n">
        <v>0</v>
      </c>
      <c r="L90" t="n">
        <v>0</v>
      </c>
      <c r="M90">
        <f>F90+G90+H90+K90-I90-J90-L90</f>
        <v/>
      </c>
      <c r="N90" t="inlineStr">
        <is>
          <t>NO APLICA</t>
        </is>
      </c>
      <c r="O90" t="n">
        <v>5</v>
      </c>
      <c r="P90">
        <f>IF(M90&lt;0, "ERROR: SOBREGIRO", IF(M90=0, "SIN EXISTENCIAS", IF(M90&lt;=O90, "STOCK BAJO", "STOCK NORMAL")))</f>
        <v/>
      </c>
    </row>
    <row r="91">
      <c r="A91" t="n">
        <v>5439</v>
      </c>
      <c r="B91" t="inlineStr">
        <is>
          <t>CONECTOR CORAZA RECTO 3/4"</t>
        </is>
      </c>
      <c r="C91" t="inlineStr">
        <is>
          <t>Materiales</t>
        </is>
      </c>
      <c r="D91" t="inlineStr">
        <is>
          <t>Unidad</t>
        </is>
      </c>
      <c r="E91" t="inlineStr">
        <is>
          <t>CDS</t>
        </is>
      </c>
      <c r="F91" t="n">
        <v>0</v>
      </c>
      <c r="G91" t="n">
        <v>0</v>
      </c>
      <c r="H91" t="n">
        <v>0</v>
      </c>
      <c r="I91" t="n">
        <v>0</v>
      </c>
      <c r="J91" t="n">
        <v>0</v>
      </c>
      <c r="K91" t="n">
        <v>0</v>
      </c>
      <c r="L91" t="n">
        <v>0</v>
      </c>
      <c r="M91">
        <f>F91+G91+H91+K91-I91-J91-L91</f>
        <v/>
      </c>
      <c r="N91" t="inlineStr">
        <is>
          <t>NO APLICA</t>
        </is>
      </c>
      <c r="O91" t="n">
        <v>5</v>
      </c>
      <c r="P91">
        <f>IF(M91&lt;0, "ERROR: SOBREGIRO", IF(M91=0, "SIN EXISTENCIAS", IF(M91&lt;=O91, "STOCK BAJO", "STOCK NORMAL")))</f>
        <v/>
      </c>
    </row>
    <row r="92">
      <c r="A92" t="n">
        <v>5441</v>
      </c>
      <c r="B92" t="inlineStr">
        <is>
          <t>CONECTOR VARILLA COPPERWELD</t>
        </is>
      </c>
      <c r="C92" t="inlineStr">
        <is>
          <t>Materiales</t>
        </is>
      </c>
      <c r="D92" t="inlineStr">
        <is>
          <t>Unidad</t>
        </is>
      </c>
      <c r="E92" t="inlineStr">
        <is>
          <t>CDS</t>
        </is>
      </c>
      <c r="F92" t="n">
        <v>0</v>
      </c>
      <c r="G92" t="n">
        <v>0</v>
      </c>
      <c r="H92" t="n">
        <v>0</v>
      </c>
      <c r="I92" t="n">
        <v>0</v>
      </c>
      <c r="J92" t="n">
        <v>0</v>
      </c>
      <c r="K92" t="n">
        <v>0</v>
      </c>
      <c r="L92" t="n">
        <v>0</v>
      </c>
      <c r="M92">
        <f>F92+G92+H92+K92-I92-J92-L92</f>
        <v/>
      </c>
      <c r="N92" t="inlineStr">
        <is>
          <t>NO APLICA</t>
        </is>
      </c>
      <c r="O92" t="n">
        <v>5</v>
      </c>
      <c r="P92">
        <f>IF(M92&lt;0, "ERROR: SOBREGIRO", IF(M92=0, "SIN EXISTENCIAS", IF(M92&lt;=O92, "STOCK BAJO", "STOCK NORMAL")))</f>
        <v/>
      </c>
    </row>
    <row r="93">
      <c r="A93" t="n">
        <v>5444</v>
      </c>
      <c r="B93" t="inlineStr">
        <is>
          <t>ESTOPA</t>
        </is>
      </c>
      <c r="C93" t="inlineStr">
        <is>
          <t>Materiales</t>
        </is>
      </c>
      <c r="D93" t="inlineStr">
        <is>
          <t>Unidad</t>
        </is>
      </c>
      <c r="E93" t="inlineStr">
        <is>
          <t>CDS</t>
        </is>
      </c>
      <c r="F93" t="n">
        <v>0</v>
      </c>
      <c r="G93" t="n">
        <v>0</v>
      </c>
      <c r="H93" t="n">
        <v>0</v>
      </c>
      <c r="I93" t="n">
        <v>0</v>
      </c>
      <c r="J93" t="n">
        <v>0</v>
      </c>
      <c r="K93" t="n">
        <v>0</v>
      </c>
      <c r="L93" t="n">
        <v>0</v>
      </c>
      <c r="M93">
        <f>F93+G93+H93+K93-I93-J93-L93</f>
        <v/>
      </c>
      <c r="N93" t="inlineStr">
        <is>
          <t>NO APLICA</t>
        </is>
      </c>
      <c r="O93" t="n">
        <v>5</v>
      </c>
      <c r="P93">
        <f>IF(M93&lt;0, "ERROR: SOBREGIRO", IF(M93=0, "SIN EXISTENCIAS", IF(M93&lt;=O93, "STOCK BAJO", "STOCK NORMAL")))</f>
        <v/>
      </c>
    </row>
    <row r="94">
      <c r="A94" t="n">
        <v>5448</v>
      </c>
      <c r="B94" t="inlineStr">
        <is>
          <t>GABINETE TAPA GRIS 478X344X216 MM KOWET</t>
        </is>
      </c>
      <c r="C94" t="inlineStr">
        <is>
          <t>Materiales</t>
        </is>
      </c>
      <c r="D94" t="inlineStr">
        <is>
          <t>Unidad</t>
        </is>
      </c>
      <c r="E94" t="inlineStr">
        <is>
          <t>CDS</t>
        </is>
      </c>
      <c r="F94" t="n">
        <v>0</v>
      </c>
      <c r="G94" t="n">
        <v>0</v>
      </c>
      <c r="H94" t="n">
        <v>0</v>
      </c>
      <c r="I94" t="n">
        <v>0</v>
      </c>
      <c r="J94" t="n">
        <v>0</v>
      </c>
      <c r="K94" t="n">
        <v>0</v>
      </c>
      <c r="L94" t="n">
        <v>0</v>
      </c>
      <c r="M94">
        <f>F94+G94+H94+K94-I94-J94-L94</f>
        <v/>
      </c>
      <c r="N94" t="inlineStr">
        <is>
          <t>NO APLICA</t>
        </is>
      </c>
      <c r="O94" t="n">
        <v>5</v>
      </c>
      <c r="P94">
        <f>IF(M94&lt;0, "ERROR: SOBREGIRO", IF(M94=0, "SIN EXISTENCIAS", IF(M94&lt;=O94, "STOCK BAJO", "STOCK NORMAL")))</f>
        <v/>
      </c>
    </row>
    <row r="95">
      <c r="A95" t="n">
        <v>5449</v>
      </c>
      <c r="B95" t="inlineStr">
        <is>
          <t>HEBILLA BANDIT 1/2"</t>
        </is>
      </c>
      <c r="C95" t="inlineStr">
        <is>
          <t>Materiales</t>
        </is>
      </c>
      <c r="D95" t="inlineStr">
        <is>
          <t>Unidad</t>
        </is>
      </c>
      <c r="E95" t="inlineStr">
        <is>
          <t>CDS</t>
        </is>
      </c>
      <c r="F95" t="n">
        <v>0</v>
      </c>
      <c r="G95" t="n">
        <v>0</v>
      </c>
      <c r="H95" t="n">
        <v>0</v>
      </c>
      <c r="I95" t="n">
        <v>0</v>
      </c>
      <c r="J95" t="n">
        <v>0</v>
      </c>
      <c r="K95" t="n">
        <v>0</v>
      </c>
      <c r="L95" t="n">
        <v>0</v>
      </c>
      <c r="M95">
        <f>F95+G95+H95+K95-I95-J95-L95</f>
        <v/>
      </c>
      <c r="N95" t="inlineStr">
        <is>
          <t>NO APLICA</t>
        </is>
      </c>
      <c r="O95" t="n">
        <v>5</v>
      </c>
      <c r="P95">
        <f>IF(M95&lt;0, "ERROR: SOBREGIRO", IF(M95=0, "SIN EXISTENCIAS", IF(M95&lt;=O95, "STOCK BAJO", "STOCK NORMAL")))</f>
        <v/>
      </c>
    </row>
    <row r="96">
      <c r="A96" t="n">
        <v>5459</v>
      </c>
      <c r="B96" t="inlineStr">
        <is>
          <t>MARCADOR CABLE TIPO FLECHA DEXSON</t>
        </is>
      </c>
      <c r="C96" t="inlineStr">
        <is>
          <t>Cableado</t>
        </is>
      </c>
      <c r="D96" t="inlineStr">
        <is>
          <t>Metro</t>
        </is>
      </c>
      <c r="E96" t="inlineStr">
        <is>
          <t>CDS</t>
        </is>
      </c>
      <c r="F96" t="n">
        <v>0</v>
      </c>
      <c r="G96" t="n">
        <v>0</v>
      </c>
      <c r="H96" t="n">
        <v>0</v>
      </c>
      <c r="I96" t="n">
        <v>0</v>
      </c>
      <c r="J96" t="n">
        <v>0</v>
      </c>
      <c r="K96" t="n">
        <v>0</v>
      </c>
      <c r="L96" t="n">
        <v>0</v>
      </c>
      <c r="M96">
        <f>F96+G96+H96+K96-I96-J96-L96</f>
        <v/>
      </c>
      <c r="N96" t="inlineStr">
        <is>
          <t>NO APLICA</t>
        </is>
      </c>
      <c r="O96" t="n">
        <v>5</v>
      </c>
      <c r="P96">
        <f>IF(M96&lt;0, "ERROR: SOBREGIRO", IF(M96=0, "SIN EXISTENCIAS", IF(M96&lt;=O96, "STOCK BAJO", "STOCK NORMAL")))</f>
        <v/>
      </c>
    </row>
    <row r="97">
      <c r="A97" t="n">
        <v>5460</v>
      </c>
      <c r="B97" t="inlineStr">
        <is>
          <t>MARCADOR INDUSTRIAL AMARILLO</t>
        </is>
      </c>
      <c r="C97" t="inlineStr">
        <is>
          <t>Materiales</t>
        </is>
      </c>
      <c r="D97" t="inlineStr">
        <is>
          <t>Unidad</t>
        </is>
      </c>
      <c r="E97" t="inlineStr">
        <is>
          <t>CDS</t>
        </is>
      </c>
      <c r="F97" t="n">
        <v>0</v>
      </c>
      <c r="G97" t="n">
        <v>0</v>
      </c>
      <c r="H97" t="n">
        <v>0</v>
      </c>
      <c r="I97" t="n">
        <v>0</v>
      </c>
      <c r="J97" t="n">
        <v>0</v>
      </c>
      <c r="K97" t="n">
        <v>0</v>
      </c>
      <c r="L97" t="n">
        <v>0</v>
      </c>
      <c r="M97">
        <f>F97+G97+H97+K97-I97-J97-L97</f>
        <v/>
      </c>
      <c r="N97" t="inlineStr">
        <is>
          <t>NO APLICA</t>
        </is>
      </c>
      <c r="O97" t="n">
        <v>5</v>
      </c>
      <c r="P97">
        <f>IF(M97&lt;0, "ERROR: SOBREGIRO", IF(M97=0, "SIN EXISTENCIAS", IF(M97&lt;=O97, "STOCK BAJO", "STOCK NORMAL")))</f>
        <v/>
      </c>
    </row>
    <row r="98">
      <c r="A98" t="n">
        <v>5461</v>
      </c>
      <c r="B98" t="inlineStr">
        <is>
          <t>MOLDE PARA SOLDADURA EXOTÉRMICA TIPO T</t>
        </is>
      </c>
      <c r="C98" t="inlineStr">
        <is>
          <t>Consumibles</t>
        </is>
      </c>
      <c r="D98" t="inlineStr">
        <is>
          <t>Unidad</t>
        </is>
      </c>
      <c r="E98" t="inlineStr">
        <is>
          <t>CDS</t>
        </is>
      </c>
      <c r="F98" t="n">
        <v>0</v>
      </c>
      <c r="G98" t="n">
        <v>0</v>
      </c>
      <c r="H98" t="n">
        <v>0</v>
      </c>
      <c r="I98" t="n">
        <v>0</v>
      </c>
      <c r="J98" t="n">
        <v>0</v>
      </c>
      <c r="K98" t="n">
        <v>0</v>
      </c>
      <c r="L98" t="n">
        <v>0</v>
      </c>
      <c r="M98">
        <f>F98+G98+H98+K98-I98-J98-L98</f>
        <v/>
      </c>
      <c r="N98" t="inlineStr">
        <is>
          <t>NO APLICA</t>
        </is>
      </c>
      <c r="O98" t="n">
        <v>5</v>
      </c>
      <c r="P98">
        <f>IF(M98&lt;0, "ERROR: SOBREGIRO", IF(M98=0, "SIN EXISTENCIAS", IF(M98&lt;=O98, "STOCK BAJO", "STOCK NORMAL")))</f>
        <v/>
      </c>
    </row>
    <row r="99">
      <c r="A99" t="n">
        <v>5462</v>
      </c>
      <c r="B99" t="inlineStr">
        <is>
          <t>NYLON GRUESO 100 MT</t>
        </is>
      </c>
      <c r="C99" t="inlineStr">
        <is>
          <t>Materiales</t>
        </is>
      </c>
      <c r="D99" t="inlineStr">
        <is>
          <t>Unidad</t>
        </is>
      </c>
      <c r="E99" t="inlineStr">
        <is>
          <t>CDS</t>
        </is>
      </c>
      <c r="F99" t="n">
        <v>0</v>
      </c>
      <c r="G99" t="n">
        <v>0</v>
      </c>
      <c r="H99" t="n">
        <v>0</v>
      </c>
      <c r="I99" t="n">
        <v>0</v>
      </c>
      <c r="J99" t="n">
        <v>0</v>
      </c>
      <c r="K99" t="n">
        <v>0</v>
      </c>
      <c r="L99" t="n">
        <v>0</v>
      </c>
      <c r="M99">
        <f>F99+G99+H99+K99-I99-J99-L99</f>
        <v/>
      </c>
      <c r="N99" t="inlineStr">
        <is>
          <t>NO APLICA</t>
        </is>
      </c>
      <c r="O99" t="n">
        <v>5</v>
      </c>
      <c r="P99">
        <f>IF(M99&lt;0, "ERROR: SOBREGIRO", IF(M99=0, "SIN EXISTENCIAS", IF(M99&lt;=O99, "STOCK BAJO", "STOCK NORMAL")))</f>
        <v/>
      </c>
    </row>
    <row r="100">
      <c r="A100" t="n">
        <v>5465</v>
      </c>
      <c r="B100" t="inlineStr">
        <is>
          <t>PRENSA ESTOPA 1/2" DEXSON</t>
        </is>
      </c>
      <c r="C100" t="inlineStr">
        <is>
          <t>Materiales</t>
        </is>
      </c>
      <c r="D100" t="inlineStr">
        <is>
          <t>Unidad</t>
        </is>
      </c>
      <c r="E100" t="inlineStr">
        <is>
          <t>CDS</t>
        </is>
      </c>
      <c r="F100" t="n">
        <v>0</v>
      </c>
      <c r="G100" t="n">
        <v>0</v>
      </c>
      <c r="H100" t="n">
        <v>0</v>
      </c>
      <c r="I100" t="n">
        <v>0</v>
      </c>
      <c r="J100" t="n">
        <v>0</v>
      </c>
      <c r="K100" t="n">
        <v>0</v>
      </c>
      <c r="L100" t="n">
        <v>0</v>
      </c>
      <c r="M100">
        <f>F100+G100+H100+K100-I100-J100-L100</f>
        <v/>
      </c>
      <c r="N100" t="inlineStr">
        <is>
          <t>NO APLICA</t>
        </is>
      </c>
      <c r="O100" t="n">
        <v>5</v>
      </c>
      <c r="P100">
        <f>IF(M100&lt;0, "ERROR: SOBREGIRO", IF(M100=0, "SIN EXISTENCIAS", IF(M100&lt;=O100, "STOCK BAJO", "STOCK NORMAL")))</f>
        <v/>
      </c>
    </row>
    <row r="101">
      <c r="A101" t="n">
        <v>5466</v>
      </c>
      <c r="B101" t="inlineStr">
        <is>
          <t>PRENSA ESTOPA 3/4" DEXSON</t>
        </is>
      </c>
      <c r="C101" t="inlineStr">
        <is>
          <t>Materiales</t>
        </is>
      </c>
      <c r="D101" t="inlineStr">
        <is>
          <t>Unidad</t>
        </is>
      </c>
      <c r="E101" t="inlineStr">
        <is>
          <t>CDS</t>
        </is>
      </c>
      <c r="F101" t="n">
        <v>0</v>
      </c>
      <c r="G101" t="n">
        <v>0</v>
      </c>
      <c r="H101" t="n">
        <v>0</v>
      </c>
      <c r="I101" t="n">
        <v>0</v>
      </c>
      <c r="J101" t="n">
        <v>0</v>
      </c>
      <c r="K101" t="n">
        <v>0</v>
      </c>
      <c r="L101" t="n">
        <v>0</v>
      </c>
      <c r="M101">
        <f>F101+G101+H101+K101-I101-J101-L101</f>
        <v/>
      </c>
      <c r="N101" t="inlineStr">
        <is>
          <t>NO APLICA</t>
        </is>
      </c>
      <c r="O101" t="n">
        <v>5</v>
      </c>
      <c r="P101">
        <f>IF(M101&lt;0, "ERROR: SOBREGIRO", IF(M101=0, "SIN EXISTENCIAS", IF(M101&lt;=O101, "STOCK BAJO", "STOCK NORMAL")))</f>
        <v/>
      </c>
    </row>
    <row r="102">
      <c r="A102" t="n">
        <v>5467</v>
      </c>
      <c r="B102" t="inlineStr">
        <is>
          <t>PRENSA ESTOPA 3/8" DEXSON</t>
        </is>
      </c>
      <c r="C102" t="inlineStr">
        <is>
          <t>Materiales</t>
        </is>
      </c>
      <c r="D102" t="inlineStr">
        <is>
          <t>Unidad</t>
        </is>
      </c>
      <c r="E102" t="inlineStr">
        <is>
          <t>CDS</t>
        </is>
      </c>
      <c r="F102" t="n">
        <v>0</v>
      </c>
      <c r="G102" t="n">
        <v>0</v>
      </c>
      <c r="H102" t="n">
        <v>0</v>
      </c>
      <c r="I102" t="n">
        <v>0</v>
      </c>
      <c r="J102" t="n">
        <v>0</v>
      </c>
      <c r="K102" t="n">
        <v>0</v>
      </c>
      <c r="L102" t="n">
        <v>0</v>
      </c>
      <c r="M102">
        <f>F102+G102+H102+K102-I102-J102-L102</f>
        <v/>
      </c>
      <c r="N102" t="inlineStr">
        <is>
          <t>NO APLICA</t>
        </is>
      </c>
      <c r="O102" t="n">
        <v>5</v>
      </c>
      <c r="P102">
        <f>IF(M102&lt;0, "ERROR: SOBREGIRO", IF(M102=0, "SIN EXISTENCIAS", IF(M102&lt;=O102, "STOCK BAJO", "STOCK NORMAL")))</f>
        <v/>
      </c>
    </row>
    <row r="103">
      <c r="A103" t="n">
        <v>5468</v>
      </c>
      <c r="B103" t="inlineStr">
        <is>
          <t>PRENSA ESTOPA 5/8" DEXSON</t>
        </is>
      </c>
      <c r="C103" t="inlineStr">
        <is>
          <t>Materiales</t>
        </is>
      </c>
      <c r="D103" t="inlineStr">
        <is>
          <t>Unidad</t>
        </is>
      </c>
      <c r="E103" t="inlineStr">
        <is>
          <t>CDS</t>
        </is>
      </c>
      <c r="F103" t="n">
        <v>0</v>
      </c>
      <c r="G103" t="n">
        <v>0</v>
      </c>
      <c r="H103" t="n">
        <v>0</v>
      </c>
      <c r="I103" t="n">
        <v>0</v>
      </c>
      <c r="J103" t="n">
        <v>0</v>
      </c>
      <c r="K103" t="n">
        <v>0</v>
      </c>
      <c r="L103" t="n">
        <v>0</v>
      </c>
      <c r="M103">
        <f>F103+G103+H103+K103-I103-J103-L103</f>
        <v/>
      </c>
      <c r="N103" t="inlineStr">
        <is>
          <t>NO APLICA</t>
        </is>
      </c>
      <c r="O103" t="n">
        <v>5</v>
      </c>
      <c r="P103">
        <f>IF(M103&lt;0, "ERROR: SOBREGIRO", IF(M103=0, "SIN EXISTENCIAS", IF(M103&lt;=O103, "STOCK BAJO", "STOCK NORMAL")))</f>
        <v/>
      </c>
    </row>
    <row r="104">
      <c r="A104" t="n">
        <v>5471</v>
      </c>
      <c r="B104" t="inlineStr">
        <is>
          <t>RIEL OMEGA</t>
        </is>
      </c>
      <c r="C104" t="inlineStr">
        <is>
          <t>Materiales</t>
        </is>
      </c>
      <c r="D104" t="inlineStr">
        <is>
          <t>Unidad</t>
        </is>
      </c>
      <c r="E104" t="inlineStr">
        <is>
          <t>CDS</t>
        </is>
      </c>
      <c r="F104" t="n">
        <v>0</v>
      </c>
      <c r="G104" t="n">
        <v>0</v>
      </c>
      <c r="H104" t="n">
        <v>0</v>
      </c>
      <c r="I104" t="n">
        <v>0</v>
      </c>
      <c r="J104" t="n">
        <v>0</v>
      </c>
      <c r="K104" t="n">
        <v>0</v>
      </c>
      <c r="L104" t="n">
        <v>0</v>
      </c>
      <c r="M104">
        <f>F104+G104+H104+K104-I104-J104-L104</f>
        <v/>
      </c>
      <c r="N104" t="inlineStr">
        <is>
          <t>NO APLICA</t>
        </is>
      </c>
      <c r="O104" t="n">
        <v>5</v>
      </c>
      <c r="P104">
        <f>IF(M104&lt;0, "ERROR: SOBREGIRO", IF(M104=0, "SIN EXISTENCIAS", IF(M104&lt;=O104, "STOCK BAJO", "STOCK NORMAL")))</f>
        <v/>
      </c>
    </row>
    <row r="105">
      <c r="A105" t="n">
        <v>5473</v>
      </c>
      <c r="B105" t="inlineStr">
        <is>
          <t>TABLERO DISTRIBUCION 12 CIRCUITOS FAMATEL</t>
        </is>
      </c>
      <c r="C105" t="inlineStr">
        <is>
          <t>Materiales</t>
        </is>
      </c>
      <c r="D105" t="inlineStr">
        <is>
          <t>Unidad</t>
        </is>
      </c>
      <c r="E105" t="inlineStr">
        <is>
          <t>CDS</t>
        </is>
      </c>
      <c r="F105" t="n">
        <v>2</v>
      </c>
      <c r="G105" t="n">
        <v>0</v>
      </c>
      <c r="H105" t="n">
        <v>0</v>
      </c>
      <c r="I105" t="n">
        <v>0</v>
      </c>
      <c r="J105" t="n">
        <v>0</v>
      </c>
      <c r="K105" t="n">
        <v>0</v>
      </c>
      <c r="L105" t="n">
        <v>0</v>
      </c>
      <c r="M105">
        <f>F105+G105+H105+K105-I105-J105-L105</f>
        <v/>
      </c>
      <c r="N105" t="inlineStr">
        <is>
          <t>NO APLICA</t>
        </is>
      </c>
      <c r="O105" t="n">
        <v>5</v>
      </c>
      <c r="P105">
        <f>IF(M105&lt;0, "ERROR: SOBREGIRO", IF(M105=0, "SIN EXISTENCIAS", IF(M105&lt;=O105, "STOCK BAJO", "STOCK NORMAL")))</f>
        <v/>
      </c>
    </row>
    <row r="106">
      <c r="A106" t="n">
        <v>5477</v>
      </c>
      <c r="B106" t="inlineStr">
        <is>
          <t>TABLERO DISTRIBUCION 8 CIRCUITOS FAMATEL</t>
        </is>
      </c>
      <c r="C106" t="inlineStr">
        <is>
          <t>Materiales</t>
        </is>
      </c>
      <c r="D106" t="inlineStr">
        <is>
          <t>Unidad</t>
        </is>
      </c>
      <c r="E106" t="inlineStr">
        <is>
          <t>CDS</t>
        </is>
      </c>
      <c r="F106" t="n">
        <v>11</v>
      </c>
      <c r="G106" t="n">
        <v>0</v>
      </c>
      <c r="H106" t="n">
        <v>0</v>
      </c>
      <c r="I106" t="n">
        <v>0</v>
      </c>
      <c r="J106" t="n">
        <v>0</v>
      </c>
      <c r="K106" t="n">
        <v>0</v>
      </c>
      <c r="L106" t="n">
        <v>0</v>
      </c>
      <c r="M106">
        <f>F106+G106+H106+K106-I106-J106-L106</f>
        <v/>
      </c>
      <c r="N106" t="inlineStr">
        <is>
          <t>NO APLICA</t>
        </is>
      </c>
      <c r="O106" t="n">
        <v>5</v>
      </c>
      <c r="P106">
        <f>IF(M106&lt;0, "ERROR: SOBREGIRO", IF(M106=0, "SIN EXISTENCIAS", IF(M106&lt;=O106, "STOCK BAJO", "STOCK NORMAL")))</f>
        <v/>
      </c>
    </row>
    <row r="107">
      <c r="A107" t="n">
        <v>5482</v>
      </c>
      <c r="B107" t="inlineStr">
        <is>
          <t>TOMA AEREO CAUCHO MACHO</t>
        </is>
      </c>
      <c r="C107" t="inlineStr">
        <is>
          <t>Elementos electricos</t>
        </is>
      </c>
      <c r="D107" t="inlineStr">
        <is>
          <t>Unidad</t>
        </is>
      </c>
      <c r="E107" t="inlineStr">
        <is>
          <t>CDS</t>
        </is>
      </c>
      <c r="F107" t="n">
        <v>0</v>
      </c>
      <c r="G107" t="n">
        <v>0</v>
      </c>
      <c r="H107" t="n">
        <v>0</v>
      </c>
      <c r="I107" t="n">
        <v>0</v>
      </c>
      <c r="J107" t="n">
        <v>0</v>
      </c>
      <c r="K107" t="n">
        <v>0</v>
      </c>
      <c r="L107" t="n">
        <v>0</v>
      </c>
      <c r="M107">
        <f>F107+G107+H107+K107-I107-J107-L107</f>
        <v/>
      </c>
      <c r="N107" t="inlineStr">
        <is>
          <t>NO APLICA</t>
        </is>
      </c>
      <c r="O107" t="n">
        <v>5</v>
      </c>
      <c r="P107">
        <f>IF(M107&lt;0, "ERROR: SOBREGIRO", IF(M107=0, "SIN EXISTENCIAS", IF(M107&lt;=O107, "STOCK BAJO", "STOCK NORMAL")))</f>
        <v/>
      </c>
    </row>
    <row r="108">
      <c r="A108" t="n">
        <v>5483</v>
      </c>
      <c r="B108" t="inlineStr">
        <is>
          <t>TOMA DOBLE CON POLO A TIERRA LEVITON</t>
        </is>
      </c>
      <c r="C108" t="inlineStr">
        <is>
          <t>Elementos electricos</t>
        </is>
      </c>
      <c r="D108" t="inlineStr">
        <is>
          <t>Unidad</t>
        </is>
      </c>
      <c r="E108" t="inlineStr">
        <is>
          <t>CDS</t>
        </is>
      </c>
      <c r="F108" t="n">
        <v>0</v>
      </c>
      <c r="G108" t="n">
        <v>0</v>
      </c>
      <c r="H108" t="n">
        <v>0</v>
      </c>
      <c r="I108" t="n">
        <v>0</v>
      </c>
      <c r="J108" t="n">
        <v>0</v>
      </c>
      <c r="K108" t="n">
        <v>0</v>
      </c>
      <c r="L108" t="n">
        <v>0</v>
      </c>
      <c r="M108">
        <f>F108+G108+H108+K108-I108-J108-L108</f>
        <v/>
      </c>
      <c r="N108" t="inlineStr">
        <is>
          <t>NO APLICA</t>
        </is>
      </c>
      <c r="O108" t="n">
        <v>5</v>
      </c>
      <c r="P108">
        <f>IF(M108&lt;0, "ERROR: SOBREGIRO", IF(M108=0, "SIN EXISTENCIAS", IF(M108&lt;=O108, "STOCK BAJO", "STOCK NORMAL")))</f>
        <v/>
      </c>
    </row>
    <row r="109">
      <c r="A109" t="n">
        <v>5485</v>
      </c>
      <c r="B109" t="inlineStr">
        <is>
          <t>TOMA NEMA 14-50R DE INCRUSTAR LEVITON</t>
        </is>
      </c>
      <c r="C109" t="inlineStr">
        <is>
          <t>Elementos electricos</t>
        </is>
      </c>
      <c r="D109" t="inlineStr">
        <is>
          <t>Unidad</t>
        </is>
      </c>
      <c r="E109" t="inlineStr">
        <is>
          <t>CDS</t>
        </is>
      </c>
      <c r="F109" t="n">
        <v>0</v>
      </c>
      <c r="G109" t="n">
        <v>0</v>
      </c>
      <c r="H109" t="n">
        <v>0</v>
      </c>
      <c r="I109" t="n">
        <v>0</v>
      </c>
      <c r="J109" t="n">
        <v>0</v>
      </c>
      <c r="K109" t="n">
        <v>0</v>
      </c>
      <c r="L109" t="n">
        <v>0</v>
      </c>
      <c r="M109">
        <f>F109+G109+H109+K109-I109-J109-L109</f>
        <v/>
      </c>
      <c r="N109" t="inlineStr">
        <is>
          <t>NO APLICA</t>
        </is>
      </c>
      <c r="O109" t="n">
        <v>5</v>
      </c>
      <c r="P109">
        <f>IF(M109&lt;0, "ERROR: SOBREGIRO", IF(M109=0, "SIN EXISTENCIAS", IF(M109&lt;=O109, "STOCK BAJO", "STOCK NORMAL")))</f>
        <v/>
      </c>
    </row>
    <row r="110">
      <c r="A110" t="n">
        <v>5490</v>
      </c>
      <c r="B110" t="inlineStr">
        <is>
          <t>TOMACORRIENTE LEVITON</t>
        </is>
      </c>
      <c r="C110" t="inlineStr">
        <is>
          <t>Elementos electricos</t>
        </is>
      </c>
      <c r="D110" t="inlineStr">
        <is>
          <t>Unidad</t>
        </is>
      </c>
      <c r="E110" t="inlineStr">
        <is>
          <t>CDS</t>
        </is>
      </c>
      <c r="F110" t="n">
        <v>0</v>
      </c>
      <c r="G110" t="n">
        <v>0</v>
      </c>
      <c r="H110" t="n">
        <v>0</v>
      </c>
      <c r="I110" t="n">
        <v>0</v>
      </c>
      <c r="J110" t="n">
        <v>0</v>
      </c>
      <c r="K110" t="n">
        <v>0</v>
      </c>
      <c r="L110" t="n">
        <v>0</v>
      </c>
      <c r="M110">
        <f>F110+G110+H110+K110-I110-J110-L110</f>
        <v/>
      </c>
      <c r="N110" t="inlineStr">
        <is>
          <t>NO APLICA</t>
        </is>
      </c>
      <c r="O110" t="n">
        <v>5</v>
      </c>
      <c r="P110">
        <f>IF(M110&lt;0, "ERROR: SOBREGIRO", IF(M110=0, "SIN EXISTENCIAS", IF(M110&lt;=O110, "STOCK BAJO", "STOCK NORMAL")))</f>
        <v/>
      </c>
    </row>
    <row r="111">
      <c r="A111" t="n">
        <v>5494</v>
      </c>
      <c r="B111" t="inlineStr">
        <is>
          <t>VARILLA ROSCADA ZINCADA 3/8"</t>
        </is>
      </c>
      <c r="C111" t="inlineStr">
        <is>
          <t>Tornilleria</t>
        </is>
      </c>
      <c r="D111" t="inlineStr">
        <is>
          <t>Unidad</t>
        </is>
      </c>
      <c r="E111" t="inlineStr">
        <is>
          <t>CDS</t>
        </is>
      </c>
      <c r="F111" t="n">
        <v>0</v>
      </c>
      <c r="G111" t="n">
        <v>0</v>
      </c>
      <c r="H111" t="n">
        <v>0</v>
      </c>
      <c r="I111" t="n">
        <v>0</v>
      </c>
      <c r="J111" t="n">
        <v>0</v>
      </c>
      <c r="K111" t="n">
        <v>0</v>
      </c>
      <c r="L111" t="n">
        <v>0</v>
      </c>
      <c r="M111">
        <f>F111+G111+H111+K111-I111-J111-L111</f>
        <v/>
      </c>
      <c r="N111" t="inlineStr">
        <is>
          <t>NO APLICA</t>
        </is>
      </c>
      <c r="O111" t="n">
        <v>5</v>
      </c>
      <c r="P111">
        <f>IF(M111&lt;0, "ERROR: SOBREGIRO", IF(M111=0, "SIN EXISTENCIAS", IF(M111&lt;=O111, "STOCK BAJO", "STOCK NORMAL")))</f>
        <v/>
      </c>
    </row>
    <row r="112">
      <c r="A112" t="n">
        <v>5739</v>
      </c>
      <c r="B112" t="inlineStr">
        <is>
          <t>ARANDELA ACERO INOXIDABLE 1/4"</t>
        </is>
      </c>
      <c r="C112" t="inlineStr">
        <is>
          <t>Tornilleria</t>
        </is>
      </c>
      <c r="D112" t="inlineStr">
        <is>
          <t>Unidad</t>
        </is>
      </c>
      <c r="E112" t="inlineStr">
        <is>
          <t>CDS</t>
        </is>
      </c>
      <c r="F112" t="n">
        <v>0</v>
      </c>
      <c r="G112" t="n">
        <v>0</v>
      </c>
      <c r="H112" t="n">
        <v>0</v>
      </c>
      <c r="I112" t="n">
        <v>0</v>
      </c>
      <c r="J112" t="n">
        <v>0</v>
      </c>
      <c r="K112" t="n">
        <v>0</v>
      </c>
      <c r="L112" t="n">
        <v>0</v>
      </c>
      <c r="M112">
        <f>F112+G112+H112+K112-I112-J112-L112</f>
        <v/>
      </c>
      <c r="N112" t="inlineStr">
        <is>
          <t>NO APLICA</t>
        </is>
      </c>
      <c r="O112" t="n">
        <v>5</v>
      </c>
      <c r="P112">
        <f>IF(M112&lt;0, "ERROR: SOBREGIRO", IF(M112=0, "SIN EXISTENCIAS", IF(M112&lt;=O112, "STOCK BAJO", "STOCK NORMAL")))</f>
        <v/>
      </c>
    </row>
    <row r="113">
      <c r="A113" t="n">
        <v>5741</v>
      </c>
      <c r="B113" t="inlineStr">
        <is>
          <t>ARANDELA ACERO INOXIDABLE 3/8"</t>
        </is>
      </c>
      <c r="C113" t="inlineStr">
        <is>
          <t>Tornilleria</t>
        </is>
      </c>
      <c r="D113" t="inlineStr">
        <is>
          <t>Unidad</t>
        </is>
      </c>
      <c r="E113" t="inlineStr">
        <is>
          <t>CDS</t>
        </is>
      </c>
      <c r="F113" t="n">
        <v>0</v>
      </c>
      <c r="G113" t="n">
        <v>0</v>
      </c>
      <c r="H113" t="n">
        <v>0</v>
      </c>
      <c r="I113" t="n">
        <v>0</v>
      </c>
      <c r="J113" t="n">
        <v>0</v>
      </c>
      <c r="K113" t="n">
        <v>0</v>
      </c>
      <c r="L113" t="n">
        <v>0</v>
      </c>
      <c r="M113">
        <f>F113+G113+H113+K113-I113-J113-L113</f>
        <v/>
      </c>
      <c r="N113" t="inlineStr">
        <is>
          <t>NO APLICA</t>
        </is>
      </c>
      <c r="O113" t="n">
        <v>5</v>
      </c>
      <c r="P113">
        <f>IF(M113&lt;0, "ERROR: SOBREGIRO", IF(M113=0, "SIN EXISTENCIAS", IF(M113&lt;=O113, "STOCK BAJO", "STOCK NORMAL")))</f>
        <v/>
      </c>
    </row>
    <row r="114">
      <c r="A114" t="n">
        <v>5742</v>
      </c>
      <c r="B114" t="inlineStr">
        <is>
          <t>ARANDELA ACERO INOXIDABLE 5/16"</t>
        </is>
      </c>
      <c r="C114" t="inlineStr">
        <is>
          <t>Tornilleria</t>
        </is>
      </c>
      <c r="D114" t="inlineStr">
        <is>
          <t>Unidad</t>
        </is>
      </c>
      <c r="E114" t="inlineStr">
        <is>
          <t>CDS</t>
        </is>
      </c>
      <c r="F114" t="n">
        <v>0</v>
      </c>
      <c r="G114" t="n">
        <v>0</v>
      </c>
      <c r="H114" t="n">
        <v>0</v>
      </c>
      <c r="I114" t="n">
        <v>0</v>
      </c>
      <c r="J114" t="n">
        <v>0</v>
      </c>
      <c r="K114" t="n">
        <v>0</v>
      </c>
      <c r="L114" t="n">
        <v>0</v>
      </c>
      <c r="M114">
        <f>F114+G114+H114+K114-I114-J114-L114</f>
        <v/>
      </c>
      <c r="N114" t="inlineStr">
        <is>
          <t>NO APLICA</t>
        </is>
      </c>
      <c r="O114" t="n">
        <v>5</v>
      </c>
      <c r="P114">
        <f>IF(M114&lt;0, "ERROR: SOBREGIRO", IF(M114=0, "SIN EXISTENCIAS", IF(M114&lt;=O114, "STOCK BAJO", "STOCK NORMAL")))</f>
        <v/>
      </c>
    </row>
    <row r="115">
      <c r="A115" t="n">
        <v>5743</v>
      </c>
      <c r="B115" t="inlineStr">
        <is>
          <t>ARANDELA CUADRADA 4X4 CM</t>
        </is>
      </c>
      <c r="C115" t="inlineStr">
        <is>
          <t>Tornilleria</t>
        </is>
      </c>
      <c r="D115" t="inlineStr">
        <is>
          <t>Unidad</t>
        </is>
      </c>
      <c r="E115" t="inlineStr">
        <is>
          <t>CDS</t>
        </is>
      </c>
      <c r="F115" t="n">
        <v>0</v>
      </c>
      <c r="G115" t="n">
        <v>0</v>
      </c>
      <c r="H115" t="n">
        <v>0</v>
      </c>
      <c r="I115" t="n">
        <v>0</v>
      </c>
      <c r="J115" t="n">
        <v>0</v>
      </c>
      <c r="K115" t="n">
        <v>0</v>
      </c>
      <c r="L115" t="n">
        <v>0</v>
      </c>
      <c r="M115">
        <f>F115+G115+H115+K115-I115-J115-L115</f>
        <v/>
      </c>
      <c r="N115" t="inlineStr">
        <is>
          <t>NO APLICA</t>
        </is>
      </c>
      <c r="O115" t="n">
        <v>5</v>
      </c>
      <c r="P115">
        <f>IF(M115&lt;0, "ERROR: SOBREGIRO", IF(M115=0, "SIN EXISTENCIAS", IF(M115&lt;=O115, "STOCK BAJO", "STOCK NORMAL")))</f>
        <v/>
      </c>
    </row>
    <row r="116">
      <c r="A116" t="n">
        <v>5752</v>
      </c>
      <c r="B116" t="inlineStr">
        <is>
          <t>ARANDELA GALVANIZADA EN CALIENTE 3/8"</t>
        </is>
      </c>
      <c r="C116" t="inlineStr">
        <is>
          <t>Tornilleria</t>
        </is>
      </c>
      <c r="D116" t="inlineStr">
        <is>
          <t>Unidad</t>
        </is>
      </c>
      <c r="E116" t="inlineStr">
        <is>
          <t>CDS</t>
        </is>
      </c>
      <c r="F116" t="n">
        <v>0</v>
      </c>
      <c r="G116" t="n">
        <v>0</v>
      </c>
      <c r="H116" t="n">
        <v>0</v>
      </c>
      <c r="I116" t="n">
        <v>0</v>
      </c>
      <c r="J116" t="n">
        <v>0</v>
      </c>
      <c r="K116" t="n">
        <v>0</v>
      </c>
      <c r="L116" t="n">
        <v>0</v>
      </c>
      <c r="M116">
        <f>F116+G116+H116+K116-I116-J116-L116</f>
        <v/>
      </c>
      <c r="N116" t="inlineStr">
        <is>
          <t>NO APLICA</t>
        </is>
      </c>
      <c r="O116" t="n">
        <v>5</v>
      </c>
      <c r="P116">
        <f>IF(M116&lt;0, "ERROR: SOBREGIRO", IF(M116=0, "SIN EXISTENCIAS", IF(M116&lt;=O116, "STOCK BAJO", "STOCK NORMAL")))</f>
        <v/>
      </c>
    </row>
    <row r="117">
      <c r="A117" t="n">
        <v>5753</v>
      </c>
      <c r="B117" t="inlineStr">
        <is>
          <t>ARANDELA GALVANIZADA EN CALIENTE 5/16"</t>
        </is>
      </c>
      <c r="C117" t="inlineStr">
        <is>
          <t>Tornilleria</t>
        </is>
      </c>
      <c r="D117" t="inlineStr">
        <is>
          <t>Unidad</t>
        </is>
      </c>
      <c r="E117" t="inlineStr">
        <is>
          <t>CDS</t>
        </is>
      </c>
      <c r="F117" t="n">
        <v>0</v>
      </c>
      <c r="G117" t="n">
        <v>0</v>
      </c>
      <c r="H117" t="n">
        <v>0</v>
      </c>
      <c r="I117" t="n">
        <v>0</v>
      </c>
      <c r="J117" t="n">
        <v>0</v>
      </c>
      <c r="K117" t="n">
        <v>0</v>
      </c>
      <c r="L117" t="n">
        <v>0</v>
      </c>
      <c r="M117">
        <f>F117+G117+H117+K117-I117-J117-L117</f>
        <v/>
      </c>
      <c r="N117" t="inlineStr">
        <is>
          <t>NO APLICA</t>
        </is>
      </c>
      <c r="O117" t="n">
        <v>5</v>
      </c>
      <c r="P117">
        <f>IF(M117&lt;0, "ERROR: SOBREGIRO", IF(M117=0, "SIN EXISTENCIAS", IF(M117&lt;=O117, "STOCK BAJO", "STOCK NORMAL")))</f>
        <v/>
      </c>
    </row>
    <row r="118">
      <c r="A118" t="n">
        <v>5754</v>
      </c>
      <c r="B118" t="inlineStr">
        <is>
          <t>ARANDELA TROPICALIZADA 1/2"</t>
        </is>
      </c>
      <c r="C118" t="inlineStr">
        <is>
          <t>Tornilleria</t>
        </is>
      </c>
      <c r="D118" t="inlineStr">
        <is>
          <t>Unidad</t>
        </is>
      </c>
      <c r="E118" t="inlineStr">
        <is>
          <t>CDS</t>
        </is>
      </c>
      <c r="F118" t="n">
        <v>0</v>
      </c>
      <c r="G118" t="n">
        <v>0</v>
      </c>
      <c r="H118" t="n">
        <v>0</v>
      </c>
      <c r="I118" t="n">
        <v>0</v>
      </c>
      <c r="J118" t="n">
        <v>0</v>
      </c>
      <c r="K118" t="n">
        <v>0</v>
      </c>
      <c r="L118" t="n">
        <v>0</v>
      </c>
      <c r="M118">
        <f>F118+G118+H118+K118-I118-J118-L118</f>
        <v/>
      </c>
      <c r="N118" t="inlineStr">
        <is>
          <t>NO APLICA</t>
        </is>
      </c>
      <c r="O118" t="n">
        <v>5</v>
      </c>
      <c r="P118">
        <f>IF(M118&lt;0, "ERROR: SOBREGIRO", IF(M118=0, "SIN EXISTENCIAS", IF(M118&lt;=O118, "STOCK BAJO", "STOCK NORMAL")))</f>
        <v/>
      </c>
    </row>
    <row r="119">
      <c r="A119" t="n">
        <v>5755</v>
      </c>
      <c r="B119" t="inlineStr">
        <is>
          <t>ARANDELA TROPICALIZADA 1/4"</t>
        </is>
      </c>
      <c r="C119" t="inlineStr">
        <is>
          <t>Tornilleria</t>
        </is>
      </c>
      <c r="D119" t="inlineStr">
        <is>
          <t>Unidad</t>
        </is>
      </c>
      <c r="E119" t="inlineStr">
        <is>
          <t>CDS</t>
        </is>
      </c>
      <c r="F119" t="n">
        <v>0</v>
      </c>
      <c r="G119" t="n">
        <v>0</v>
      </c>
      <c r="H119" t="n">
        <v>0</v>
      </c>
      <c r="I119" t="n">
        <v>0</v>
      </c>
      <c r="J119" t="n">
        <v>0</v>
      </c>
      <c r="K119" t="n">
        <v>0</v>
      </c>
      <c r="L119" t="n">
        <v>0</v>
      </c>
      <c r="M119">
        <f>F119+G119+H119+K119-I119-J119-L119</f>
        <v/>
      </c>
      <c r="N119" t="inlineStr">
        <is>
          <t>NO APLICA</t>
        </is>
      </c>
      <c r="O119" t="n">
        <v>5</v>
      </c>
      <c r="P119">
        <f>IF(M119&lt;0, "ERROR: SOBREGIRO", IF(M119=0, "SIN EXISTENCIAS", IF(M119&lt;=O119, "STOCK BAJO", "STOCK NORMAL")))</f>
        <v/>
      </c>
    </row>
    <row r="120">
      <c r="A120" t="n">
        <v>5757</v>
      </c>
      <c r="B120" t="inlineStr">
        <is>
          <t>ARANDELA TROPICALIZADA 3/8”</t>
        </is>
      </c>
      <c r="C120" t="inlineStr">
        <is>
          <t>Tornilleria</t>
        </is>
      </c>
      <c r="D120" t="inlineStr">
        <is>
          <t>Unidad</t>
        </is>
      </c>
      <c r="E120" t="inlineStr">
        <is>
          <t>CDS</t>
        </is>
      </c>
      <c r="F120" t="n">
        <v>0</v>
      </c>
      <c r="G120" t="n">
        <v>0</v>
      </c>
      <c r="H120" t="n">
        <v>0</v>
      </c>
      <c r="I120" t="n">
        <v>0</v>
      </c>
      <c r="J120" t="n">
        <v>0</v>
      </c>
      <c r="K120" t="n">
        <v>0</v>
      </c>
      <c r="L120" t="n">
        <v>0</v>
      </c>
      <c r="M120">
        <f>F120+G120+H120+K120-I120-J120-L120</f>
        <v/>
      </c>
      <c r="N120" t="inlineStr">
        <is>
          <t>NO APLICA</t>
        </is>
      </c>
      <c r="O120" t="n">
        <v>5</v>
      </c>
      <c r="P120">
        <f>IF(M120&lt;0, "ERROR: SOBREGIRO", IF(M120=0, "SIN EXISTENCIAS", IF(M120&lt;=O120, "STOCK BAJO", "STOCK NORMAL")))</f>
        <v/>
      </c>
    </row>
    <row r="121">
      <c r="A121" t="n">
        <v>5758</v>
      </c>
      <c r="B121" t="inlineStr">
        <is>
          <t>ARANDELA TROPICALIZADA 5/16”</t>
        </is>
      </c>
      <c r="C121" t="inlineStr">
        <is>
          <t>Tornilleria</t>
        </is>
      </c>
      <c r="D121" t="inlineStr">
        <is>
          <t>Unidad</t>
        </is>
      </c>
      <c r="E121" t="inlineStr">
        <is>
          <t>CDS</t>
        </is>
      </c>
      <c r="F121" t="n">
        <v>0</v>
      </c>
      <c r="G121" t="n">
        <v>0</v>
      </c>
      <c r="H121" t="n">
        <v>0</v>
      </c>
      <c r="I121" t="n">
        <v>0</v>
      </c>
      <c r="J121" t="n">
        <v>0</v>
      </c>
      <c r="K121" t="n">
        <v>0</v>
      </c>
      <c r="L121" t="n">
        <v>0</v>
      </c>
      <c r="M121">
        <f>F121+G121+H121+K121-I121-J121-L121</f>
        <v/>
      </c>
      <c r="N121" t="inlineStr">
        <is>
          <t>NO APLICA</t>
        </is>
      </c>
      <c r="O121" t="n">
        <v>5</v>
      </c>
      <c r="P121">
        <f>IF(M121&lt;0, "ERROR: SOBREGIRO", IF(M121=0, "SIN EXISTENCIAS", IF(M121&lt;=O121, "STOCK BAJO", "STOCK NORMAL")))</f>
        <v/>
      </c>
    </row>
    <row r="122">
      <c r="A122" t="n">
        <v>5759</v>
      </c>
      <c r="B122" t="inlineStr">
        <is>
          <t>ARANDELA ZINCADA 1/2"</t>
        </is>
      </c>
      <c r="C122" t="inlineStr">
        <is>
          <t>Tornilleria</t>
        </is>
      </c>
      <c r="D122" t="inlineStr">
        <is>
          <t>Unidad</t>
        </is>
      </c>
      <c r="E122" t="inlineStr">
        <is>
          <t>CDS</t>
        </is>
      </c>
      <c r="F122" t="n">
        <v>0</v>
      </c>
      <c r="G122" t="n">
        <v>0</v>
      </c>
      <c r="H122" t="n">
        <v>0</v>
      </c>
      <c r="I122" t="n">
        <v>0</v>
      </c>
      <c r="J122" t="n">
        <v>0</v>
      </c>
      <c r="K122" t="n">
        <v>0</v>
      </c>
      <c r="L122" t="n">
        <v>0</v>
      </c>
      <c r="M122">
        <f>F122+G122+H122+K122-I122-J122-L122</f>
        <v/>
      </c>
      <c r="N122" t="inlineStr">
        <is>
          <t>NO APLICA</t>
        </is>
      </c>
      <c r="O122" t="n">
        <v>5</v>
      </c>
      <c r="P122">
        <f>IF(M122&lt;0, "ERROR: SOBREGIRO", IF(M122=0, "SIN EXISTENCIAS", IF(M122&lt;=O122, "STOCK BAJO", "STOCK NORMAL")))</f>
        <v/>
      </c>
    </row>
    <row r="123">
      <c r="A123" t="n">
        <v>5767</v>
      </c>
      <c r="B123" t="inlineStr">
        <is>
          <t>BROCA ACERO 1/4"</t>
        </is>
      </c>
      <c r="C123" t="inlineStr">
        <is>
          <t>Materiales</t>
        </is>
      </c>
      <c r="D123" t="inlineStr">
        <is>
          <t>Unidad</t>
        </is>
      </c>
      <c r="E123" t="inlineStr">
        <is>
          <t>CDS</t>
        </is>
      </c>
      <c r="F123" t="n">
        <v>0</v>
      </c>
      <c r="G123" t="n">
        <v>0</v>
      </c>
      <c r="H123" t="n">
        <v>0</v>
      </c>
      <c r="I123" t="n">
        <v>0</v>
      </c>
      <c r="J123" t="n">
        <v>0</v>
      </c>
      <c r="K123" t="n">
        <v>0</v>
      </c>
      <c r="L123" t="n">
        <v>0</v>
      </c>
      <c r="M123">
        <f>F123+G123+H123+K123-I123-J123-L123</f>
        <v/>
      </c>
      <c r="N123" t="inlineStr">
        <is>
          <t>NO APLICA</t>
        </is>
      </c>
      <c r="O123" t="n">
        <v>5</v>
      </c>
      <c r="P123">
        <f>IF(M123&lt;0, "ERROR: SOBREGIRO", IF(M123=0, "SIN EXISTENCIAS", IF(M123&lt;=O123, "STOCK BAJO", "STOCK NORMAL")))</f>
        <v/>
      </c>
    </row>
    <row r="124">
      <c r="A124" t="n">
        <v>5774</v>
      </c>
      <c r="B124" t="inlineStr">
        <is>
          <t>BROCA ESCALONADA 3/16"</t>
        </is>
      </c>
      <c r="C124" t="inlineStr">
        <is>
          <t>Materiales</t>
        </is>
      </c>
      <c r="D124" t="inlineStr">
        <is>
          <t>Unidad</t>
        </is>
      </c>
      <c r="E124" t="inlineStr">
        <is>
          <t>CDS</t>
        </is>
      </c>
      <c r="F124" t="n">
        <v>0</v>
      </c>
      <c r="G124" t="n">
        <v>0</v>
      </c>
      <c r="H124" t="n">
        <v>0</v>
      </c>
      <c r="I124" t="n">
        <v>0</v>
      </c>
      <c r="J124" t="n">
        <v>0</v>
      </c>
      <c r="K124" t="n">
        <v>0</v>
      </c>
      <c r="L124" t="n">
        <v>0</v>
      </c>
      <c r="M124">
        <f>F124+G124+H124+K124-I124-J124-L124</f>
        <v/>
      </c>
      <c r="N124" t="inlineStr">
        <is>
          <t>NO APLICA</t>
        </is>
      </c>
      <c r="O124" t="n">
        <v>5</v>
      </c>
      <c r="P124">
        <f>IF(M124&lt;0, "ERROR: SOBREGIRO", IF(M124=0, "SIN EXISTENCIAS", IF(M124&lt;=O124, "STOCK BAJO", "STOCK NORMAL")))</f>
        <v/>
      </c>
    </row>
    <row r="125">
      <c r="A125" t="n">
        <v>5777</v>
      </c>
      <c r="B125" t="inlineStr">
        <is>
          <t>BROCA LAMINA 1/4"</t>
        </is>
      </c>
      <c r="C125" t="inlineStr">
        <is>
          <t>Materiales</t>
        </is>
      </c>
      <c r="D125" t="inlineStr">
        <is>
          <t>Unidad</t>
        </is>
      </c>
      <c r="E125" t="inlineStr">
        <is>
          <t>CDS</t>
        </is>
      </c>
      <c r="F125" t="n">
        <v>0</v>
      </c>
      <c r="G125" t="n">
        <v>0</v>
      </c>
      <c r="H125" t="n">
        <v>0</v>
      </c>
      <c r="I125" t="n">
        <v>0</v>
      </c>
      <c r="J125" t="n">
        <v>0</v>
      </c>
      <c r="K125" t="n">
        <v>0</v>
      </c>
      <c r="L125" t="n">
        <v>0</v>
      </c>
      <c r="M125">
        <f>F125+G125+H125+K125-I125-J125-L125</f>
        <v/>
      </c>
      <c r="N125" t="inlineStr">
        <is>
          <t>NO APLICA</t>
        </is>
      </c>
      <c r="O125" t="n">
        <v>5</v>
      </c>
      <c r="P125">
        <f>IF(M125&lt;0, "ERROR: SOBREGIRO", IF(M125=0, "SIN EXISTENCIAS", IF(M125&lt;=O125, "STOCK BAJO", "STOCK NORMAL")))</f>
        <v/>
      </c>
    </row>
    <row r="126">
      <c r="A126" t="n">
        <v>5778</v>
      </c>
      <c r="B126" t="inlineStr">
        <is>
          <t>BROCA LAMINA 3/8"</t>
        </is>
      </c>
      <c r="C126" t="inlineStr">
        <is>
          <t>Materiales</t>
        </is>
      </c>
      <c r="D126" t="inlineStr">
        <is>
          <t>Unidad</t>
        </is>
      </c>
      <c r="E126" t="inlineStr">
        <is>
          <t>CDS</t>
        </is>
      </c>
      <c r="F126" t="n">
        <v>0</v>
      </c>
      <c r="G126" t="n">
        <v>0</v>
      </c>
      <c r="H126" t="n">
        <v>0</v>
      </c>
      <c r="I126" t="n">
        <v>0</v>
      </c>
      <c r="J126" t="n">
        <v>0</v>
      </c>
      <c r="K126" t="n">
        <v>0</v>
      </c>
      <c r="L126" t="n">
        <v>0</v>
      </c>
      <c r="M126">
        <f>F126+G126+H126+K126-I126-J126-L126</f>
        <v/>
      </c>
      <c r="N126" t="inlineStr">
        <is>
          <t>NO APLICA</t>
        </is>
      </c>
      <c r="O126" t="n">
        <v>5</v>
      </c>
      <c r="P126">
        <f>IF(M126&lt;0, "ERROR: SOBREGIRO", IF(M126=0, "SIN EXISTENCIAS", IF(M126&lt;=O126, "STOCK BAJO", "STOCK NORMAL")))</f>
        <v/>
      </c>
    </row>
    <row r="127">
      <c r="A127" t="n">
        <v>5779</v>
      </c>
      <c r="B127" t="inlineStr">
        <is>
          <t>BROCA LAMINA 5/16"</t>
        </is>
      </c>
      <c r="C127" t="inlineStr">
        <is>
          <t>Materiales</t>
        </is>
      </c>
      <c r="D127" t="inlineStr">
        <is>
          <t>Unidad</t>
        </is>
      </c>
      <c r="E127" t="inlineStr">
        <is>
          <t>CDS</t>
        </is>
      </c>
      <c r="F127" t="n">
        <v>0</v>
      </c>
      <c r="G127" t="n">
        <v>0</v>
      </c>
      <c r="H127" t="n">
        <v>0</v>
      </c>
      <c r="I127" t="n">
        <v>0</v>
      </c>
      <c r="J127" t="n">
        <v>0</v>
      </c>
      <c r="K127" t="n">
        <v>0</v>
      </c>
      <c r="L127" t="n">
        <v>0</v>
      </c>
      <c r="M127">
        <f>F127+G127+H127+K127-I127-J127-L127</f>
        <v/>
      </c>
      <c r="N127" t="inlineStr">
        <is>
          <t>NO APLICA</t>
        </is>
      </c>
      <c r="O127" t="n">
        <v>5</v>
      </c>
      <c r="P127">
        <f>IF(M127&lt;0, "ERROR: SOBREGIRO", IF(M127=0, "SIN EXISTENCIAS", IF(M127&lt;=O127, "STOCK BAJO", "STOCK NORMAL")))</f>
        <v/>
      </c>
    </row>
    <row r="128">
      <c r="A128" t="n">
        <v>5781</v>
      </c>
      <c r="B128" t="inlineStr">
        <is>
          <t>BROCA MURO 1/4"</t>
        </is>
      </c>
      <c r="C128" t="inlineStr">
        <is>
          <t>Materiales</t>
        </is>
      </c>
      <c r="D128" t="inlineStr">
        <is>
          <t>Unidad</t>
        </is>
      </c>
      <c r="E128" t="inlineStr">
        <is>
          <t>CDS</t>
        </is>
      </c>
      <c r="F128" t="n">
        <v>0</v>
      </c>
      <c r="G128" t="n">
        <v>0</v>
      </c>
      <c r="H128" t="n">
        <v>0</v>
      </c>
      <c r="I128" t="n">
        <v>0</v>
      </c>
      <c r="J128" t="n">
        <v>0</v>
      </c>
      <c r="K128" t="n">
        <v>0</v>
      </c>
      <c r="L128" t="n">
        <v>0</v>
      </c>
      <c r="M128">
        <f>F128+G128+H128+K128-I128-J128-L128</f>
        <v/>
      </c>
      <c r="N128" t="inlineStr">
        <is>
          <t>NO APLICA</t>
        </is>
      </c>
      <c r="O128" t="n">
        <v>5</v>
      </c>
      <c r="P128">
        <f>IF(M128&lt;0, "ERROR: SOBREGIRO", IF(M128=0, "SIN EXISTENCIAS", IF(M128&lt;=O128, "STOCK BAJO", "STOCK NORMAL")))</f>
        <v/>
      </c>
    </row>
    <row r="129">
      <c r="A129" t="n">
        <v>5782</v>
      </c>
      <c r="B129" t="inlineStr">
        <is>
          <t>BROCA MURO 3/4"</t>
        </is>
      </c>
      <c r="C129" t="inlineStr">
        <is>
          <t>Materiales</t>
        </is>
      </c>
      <c r="D129" t="inlineStr">
        <is>
          <t>Unidad</t>
        </is>
      </c>
      <c r="E129" t="inlineStr">
        <is>
          <t>CDS</t>
        </is>
      </c>
      <c r="F129" t="n">
        <v>0</v>
      </c>
      <c r="G129" t="n">
        <v>0</v>
      </c>
      <c r="H129" t="n">
        <v>0</v>
      </c>
      <c r="I129" t="n">
        <v>0</v>
      </c>
      <c r="J129" t="n">
        <v>0</v>
      </c>
      <c r="K129" t="n">
        <v>0</v>
      </c>
      <c r="L129" t="n">
        <v>0</v>
      </c>
      <c r="M129">
        <f>F129+G129+H129+K129-I129-J129-L129</f>
        <v/>
      </c>
      <c r="N129" t="inlineStr">
        <is>
          <t>NO APLICA</t>
        </is>
      </c>
      <c r="O129" t="n">
        <v>5</v>
      </c>
      <c r="P129">
        <f>IF(M129&lt;0, "ERROR: SOBREGIRO", IF(M129=0, "SIN EXISTENCIAS", IF(M129&lt;=O129, "STOCK BAJO", "STOCK NORMAL")))</f>
        <v/>
      </c>
    </row>
    <row r="130">
      <c r="A130" t="n">
        <v>5784</v>
      </c>
      <c r="B130" t="inlineStr">
        <is>
          <t>BROCA MURO 5/16"</t>
        </is>
      </c>
      <c r="C130" t="inlineStr">
        <is>
          <t>Materiales</t>
        </is>
      </c>
      <c r="D130" t="inlineStr">
        <is>
          <t>Unidad</t>
        </is>
      </c>
      <c r="E130" t="inlineStr">
        <is>
          <t>CDS</t>
        </is>
      </c>
      <c r="F130" t="n">
        <v>0</v>
      </c>
      <c r="G130" t="n">
        <v>0</v>
      </c>
      <c r="H130" t="n">
        <v>0</v>
      </c>
      <c r="I130" t="n">
        <v>0</v>
      </c>
      <c r="J130" t="n">
        <v>0</v>
      </c>
      <c r="K130" t="n">
        <v>0</v>
      </c>
      <c r="L130" t="n">
        <v>0</v>
      </c>
      <c r="M130">
        <f>F130+G130+H130+K130-I130-J130-L130</f>
        <v/>
      </c>
      <c r="N130" t="inlineStr">
        <is>
          <t>NO APLICA</t>
        </is>
      </c>
      <c r="O130" t="n">
        <v>5</v>
      </c>
      <c r="P130">
        <f>IF(M130&lt;0, "ERROR: SOBREGIRO", IF(M130=0, "SIN EXISTENCIAS", IF(M130&lt;=O130, "STOCK BAJO", "STOCK NORMAL")))</f>
        <v/>
      </c>
    </row>
    <row r="131">
      <c r="A131" t="n">
        <v>5789</v>
      </c>
      <c r="B131" t="inlineStr">
        <is>
          <t>CAPUCHON NEOPRENO PARA TORNILLO AUTOPERFORANTE PUNTA BROCA</t>
        </is>
      </c>
      <c r="C131" t="inlineStr">
        <is>
          <t>Tornilleria</t>
        </is>
      </c>
      <c r="D131" t="inlineStr">
        <is>
          <t>Unidad</t>
        </is>
      </c>
      <c r="E131" t="inlineStr">
        <is>
          <t>CDS</t>
        </is>
      </c>
      <c r="F131" t="n">
        <v>0</v>
      </c>
      <c r="G131" t="n">
        <v>0</v>
      </c>
      <c r="H131" t="n">
        <v>0</v>
      </c>
      <c r="I131" t="n">
        <v>0</v>
      </c>
      <c r="J131" t="n">
        <v>0</v>
      </c>
      <c r="K131" t="n">
        <v>0</v>
      </c>
      <c r="L131" t="n">
        <v>0</v>
      </c>
      <c r="M131">
        <f>F131+G131+H131+K131-I131-J131-L131</f>
        <v/>
      </c>
      <c r="N131" t="inlineStr">
        <is>
          <t>NO APLICA</t>
        </is>
      </c>
      <c r="O131" t="n">
        <v>5</v>
      </c>
      <c r="P131">
        <f>IF(M131&lt;0, "ERROR: SOBREGIRO", IF(M131=0, "SIN EXISTENCIAS", IF(M131&lt;=O131, "STOCK BAJO", "STOCK NORMAL")))</f>
        <v/>
      </c>
    </row>
    <row r="132">
      <c r="A132" t="n">
        <v>5791</v>
      </c>
      <c r="B132" t="inlineStr">
        <is>
          <t>CHAZO EXPANSIVO METALICO 1/2" X 3"</t>
        </is>
      </c>
      <c r="C132" t="inlineStr">
        <is>
          <t>Tornilleria</t>
        </is>
      </c>
      <c r="D132" t="inlineStr">
        <is>
          <t>Unidad</t>
        </is>
      </c>
      <c r="E132" t="inlineStr">
        <is>
          <t>CDS</t>
        </is>
      </c>
      <c r="F132" t="n">
        <v>0</v>
      </c>
      <c r="G132" t="n">
        <v>0</v>
      </c>
      <c r="H132" t="n">
        <v>0</v>
      </c>
      <c r="I132" t="n">
        <v>0</v>
      </c>
      <c r="J132" t="n">
        <v>0</v>
      </c>
      <c r="K132" t="n">
        <v>0</v>
      </c>
      <c r="L132" t="n">
        <v>0</v>
      </c>
      <c r="M132">
        <f>F132+G132+H132+K132-I132-J132-L132</f>
        <v/>
      </c>
      <c r="N132" t="inlineStr">
        <is>
          <t>NO APLICA</t>
        </is>
      </c>
      <c r="O132" t="n">
        <v>5</v>
      </c>
      <c r="P132">
        <f>IF(M132&lt;0, "ERROR: SOBREGIRO", IF(M132=0, "SIN EXISTENCIAS", IF(M132&lt;=O132, "STOCK BAJO", "STOCK NORMAL")))</f>
        <v/>
      </c>
    </row>
    <row r="133">
      <c r="A133" t="n">
        <v>5799</v>
      </c>
      <c r="B133" t="inlineStr">
        <is>
          <t>CHAZO EXPANSIVO METALICO 5/16" X 2"</t>
        </is>
      </c>
      <c r="C133" t="inlineStr">
        <is>
          <t>Tornilleria</t>
        </is>
      </c>
      <c r="D133" t="inlineStr">
        <is>
          <t>Unidad</t>
        </is>
      </c>
      <c r="E133" t="inlineStr">
        <is>
          <t>CDS</t>
        </is>
      </c>
      <c r="F133" t="n">
        <v>0</v>
      </c>
      <c r="G133" t="n">
        <v>0</v>
      </c>
      <c r="H133" t="n">
        <v>0</v>
      </c>
      <c r="I133" t="n">
        <v>0</v>
      </c>
      <c r="J133" t="n">
        <v>0</v>
      </c>
      <c r="K133" t="n">
        <v>0</v>
      </c>
      <c r="L133" t="n">
        <v>0</v>
      </c>
      <c r="M133">
        <f>F133+G133+H133+K133-I133-J133-L133</f>
        <v/>
      </c>
      <c r="N133" t="inlineStr">
        <is>
          <t>NO APLICA</t>
        </is>
      </c>
      <c r="O133" t="n">
        <v>5</v>
      </c>
      <c r="P133">
        <f>IF(M133&lt;0, "ERROR: SOBREGIRO", IF(M133=0, "SIN EXISTENCIAS", IF(M133&lt;=O133, "STOCK BAJO", "STOCK NORMAL")))</f>
        <v/>
      </c>
    </row>
    <row r="134">
      <c r="A134" t="n">
        <v>5800</v>
      </c>
      <c r="B134" t="inlineStr">
        <is>
          <t>CHAZO EXPANSIVO METALICO 5/16" X 2-1/2"</t>
        </is>
      </c>
      <c r="C134" t="inlineStr">
        <is>
          <t>Tornilleria</t>
        </is>
      </c>
      <c r="D134" t="inlineStr">
        <is>
          <t>Unidad</t>
        </is>
      </c>
      <c r="E134" t="inlineStr">
        <is>
          <t>CDS</t>
        </is>
      </c>
      <c r="F134" t="n">
        <v>0</v>
      </c>
      <c r="G134" t="n">
        <v>0</v>
      </c>
      <c r="H134" t="n">
        <v>0</v>
      </c>
      <c r="I134" t="n">
        <v>0</v>
      </c>
      <c r="J134" t="n">
        <v>0</v>
      </c>
      <c r="K134" t="n">
        <v>0</v>
      </c>
      <c r="L134" t="n">
        <v>0</v>
      </c>
      <c r="M134">
        <f>F134+G134+H134+K134-I134-J134-L134</f>
        <v/>
      </c>
      <c r="N134" t="inlineStr">
        <is>
          <t>NO APLICA</t>
        </is>
      </c>
      <c r="O134" t="n">
        <v>5</v>
      </c>
      <c r="P134">
        <f>IF(M134&lt;0, "ERROR: SOBREGIRO", IF(M134=0, "SIN EXISTENCIAS", IF(M134&lt;=O134, "STOCK BAJO", "STOCK NORMAL")))</f>
        <v/>
      </c>
    </row>
    <row r="135">
      <c r="A135" t="n">
        <v>5801</v>
      </c>
      <c r="B135" t="inlineStr">
        <is>
          <t>CHAZO MARIPOSA METALICO 1/4"</t>
        </is>
      </c>
      <c r="C135" t="inlineStr">
        <is>
          <t>Tornilleria</t>
        </is>
      </c>
      <c r="D135" t="inlineStr">
        <is>
          <t>Unidad</t>
        </is>
      </c>
      <c r="E135" t="inlineStr">
        <is>
          <t>CDS</t>
        </is>
      </c>
      <c r="F135" t="n">
        <v>0</v>
      </c>
      <c r="G135" t="n">
        <v>0</v>
      </c>
      <c r="H135" t="n">
        <v>0</v>
      </c>
      <c r="I135" t="n">
        <v>0</v>
      </c>
      <c r="J135" t="n">
        <v>0</v>
      </c>
      <c r="K135" t="n">
        <v>0</v>
      </c>
      <c r="L135" t="n">
        <v>0</v>
      </c>
      <c r="M135">
        <f>F135+G135+H135+K135-I135-J135-L135</f>
        <v/>
      </c>
      <c r="N135" t="inlineStr">
        <is>
          <t>NO APLICA</t>
        </is>
      </c>
      <c r="O135" t="n">
        <v>5</v>
      </c>
      <c r="P135">
        <f>IF(M135&lt;0, "ERROR: SOBREGIRO", IF(M135=0, "SIN EXISTENCIAS", IF(M135&lt;=O135, "STOCK BAJO", "STOCK NORMAL")))</f>
        <v/>
      </c>
    </row>
    <row r="136">
      <c r="A136" t="n">
        <v>5802</v>
      </c>
      <c r="B136" t="inlineStr">
        <is>
          <t>CHAZO MARIPOSA METALICO 3/16"</t>
        </is>
      </c>
      <c r="C136" t="inlineStr">
        <is>
          <t>Tornilleria</t>
        </is>
      </c>
      <c r="D136" t="inlineStr">
        <is>
          <t>Unidad</t>
        </is>
      </c>
      <c r="E136" t="inlineStr">
        <is>
          <t>CDS</t>
        </is>
      </c>
      <c r="F136" t="n">
        <v>0</v>
      </c>
      <c r="G136" t="n">
        <v>0</v>
      </c>
      <c r="H136" t="n">
        <v>0</v>
      </c>
      <c r="I136" t="n">
        <v>0</v>
      </c>
      <c r="J136" t="n">
        <v>0</v>
      </c>
      <c r="K136" t="n">
        <v>0</v>
      </c>
      <c r="L136" t="n">
        <v>0</v>
      </c>
      <c r="M136">
        <f>F136+G136+H136+K136-I136-J136-L136</f>
        <v/>
      </c>
      <c r="N136" t="inlineStr">
        <is>
          <t>NO APLICA</t>
        </is>
      </c>
      <c r="O136" t="n">
        <v>5</v>
      </c>
      <c r="P136">
        <f>IF(M136&lt;0, "ERROR: SOBREGIRO", IF(M136=0, "SIN EXISTENCIAS", IF(M136&lt;=O136, "STOCK BAJO", "STOCK NORMAL")))</f>
        <v/>
      </c>
    </row>
    <row r="137">
      <c r="A137" t="n">
        <v>5803</v>
      </c>
      <c r="B137" t="inlineStr">
        <is>
          <t>CHAZO MARIPOSA METALICO 3/8"</t>
        </is>
      </c>
      <c r="C137" t="inlineStr">
        <is>
          <t>Tornilleria</t>
        </is>
      </c>
      <c r="D137" t="inlineStr">
        <is>
          <t>Unidad</t>
        </is>
      </c>
      <c r="E137" t="inlineStr">
        <is>
          <t>CDS</t>
        </is>
      </c>
      <c r="F137" t="n">
        <v>0</v>
      </c>
      <c r="G137" t="n">
        <v>0</v>
      </c>
      <c r="H137" t="n">
        <v>0</v>
      </c>
      <c r="I137" t="n">
        <v>0</v>
      </c>
      <c r="J137" t="n">
        <v>0</v>
      </c>
      <c r="K137" t="n">
        <v>0</v>
      </c>
      <c r="L137" t="n">
        <v>0</v>
      </c>
      <c r="M137">
        <f>F137+G137+H137+K137-I137-J137-L137</f>
        <v/>
      </c>
      <c r="N137" t="inlineStr">
        <is>
          <t>NO APLICA</t>
        </is>
      </c>
      <c r="O137" t="n">
        <v>5</v>
      </c>
      <c r="P137">
        <f>IF(M137&lt;0, "ERROR: SOBREGIRO", IF(M137=0, "SIN EXISTENCIAS", IF(M137&lt;=O137, "STOCK BAJO", "STOCK NORMAL")))</f>
        <v/>
      </c>
    </row>
    <row r="138">
      <c r="A138" t="n">
        <v>5804</v>
      </c>
      <c r="B138" t="inlineStr">
        <is>
          <t>CHAZO MARIPOSA PLASTICO BEIGE 1/4"</t>
        </is>
      </c>
      <c r="C138" t="inlineStr">
        <is>
          <t>Tornilleria</t>
        </is>
      </c>
      <c r="D138" t="inlineStr">
        <is>
          <t>Unidad</t>
        </is>
      </c>
      <c r="E138" t="inlineStr">
        <is>
          <t>CDS</t>
        </is>
      </c>
      <c r="F138" t="n">
        <v>500</v>
      </c>
      <c r="G138" t="n">
        <v>0</v>
      </c>
      <c r="H138" t="n">
        <v>0</v>
      </c>
      <c r="I138" t="n">
        <v>0</v>
      </c>
      <c r="J138" t="n">
        <v>0</v>
      </c>
      <c r="K138" t="n">
        <v>0</v>
      </c>
      <c r="L138" t="n">
        <v>0</v>
      </c>
      <c r="M138">
        <f>F138+G138+H138+K138-I138-J138-L138</f>
        <v/>
      </c>
      <c r="N138" t="inlineStr">
        <is>
          <t>NO APLICA</t>
        </is>
      </c>
      <c r="O138" t="n">
        <v>5</v>
      </c>
      <c r="P138">
        <f>IF(M138&lt;0, "ERROR: SOBREGIRO", IF(M138=0, "SIN EXISTENCIAS", IF(M138&lt;=O138, "STOCK BAJO", "STOCK NORMAL")))</f>
        <v/>
      </c>
    </row>
    <row r="139">
      <c r="A139" t="n">
        <v>5805</v>
      </c>
      <c r="B139" t="inlineStr">
        <is>
          <t>COPA SIERRA 1 1/2"</t>
        </is>
      </c>
      <c r="C139" t="inlineStr">
        <is>
          <t>Materiales</t>
        </is>
      </c>
      <c r="D139" t="inlineStr">
        <is>
          <t>Unidad</t>
        </is>
      </c>
      <c r="E139" t="inlineStr">
        <is>
          <t>CDS</t>
        </is>
      </c>
      <c r="F139" t="n">
        <v>0</v>
      </c>
      <c r="G139" t="n">
        <v>0</v>
      </c>
      <c r="H139" t="n">
        <v>0</v>
      </c>
      <c r="I139" t="n">
        <v>0</v>
      </c>
      <c r="J139" t="n">
        <v>0</v>
      </c>
      <c r="K139" t="n">
        <v>0</v>
      </c>
      <c r="L139" t="n">
        <v>0</v>
      </c>
      <c r="M139">
        <f>F139+G139+H139+K139-I139-J139-L139</f>
        <v/>
      </c>
      <c r="N139" t="inlineStr">
        <is>
          <t>NO APLICA</t>
        </is>
      </c>
      <c r="O139" t="n">
        <v>5</v>
      </c>
      <c r="P139">
        <f>IF(M139&lt;0, "ERROR: SOBREGIRO", IF(M139=0, "SIN EXISTENCIAS", IF(M139&lt;=O139, "STOCK BAJO", "STOCK NORMAL")))</f>
        <v/>
      </c>
    </row>
    <row r="140">
      <c r="A140" t="n">
        <v>5806</v>
      </c>
      <c r="B140" t="inlineStr">
        <is>
          <t>COPA SIERRA 1 1/4"</t>
        </is>
      </c>
      <c r="C140" t="inlineStr">
        <is>
          <t>Materiales</t>
        </is>
      </c>
      <c r="D140" t="inlineStr">
        <is>
          <t>Unidad</t>
        </is>
      </c>
      <c r="E140" t="inlineStr">
        <is>
          <t>CDS</t>
        </is>
      </c>
      <c r="F140" t="n">
        <v>0</v>
      </c>
      <c r="G140" t="n">
        <v>0</v>
      </c>
      <c r="H140" t="n">
        <v>0</v>
      </c>
      <c r="I140" t="n">
        <v>0</v>
      </c>
      <c r="J140" t="n">
        <v>0</v>
      </c>
      <c r="K140" t="n">
        <v>0</v>
      </c>
      <c r="L140" t="n">
        <v>0</v>
      </c>
      <c r="M140">
        <f>F140+G140+H140+K140-I140-J140-L140</f>
        <v/>
      </c>
      <c r="N140" t="inlineStr">
        <is>
          <t>NO APLICA</t>
        </is>
      </c>
      <c r="O140" t="n">
        <v>5</v>
      </c>
      <c r="P140">
        <f>IF(M140&lt;0, "ERROR: SOBREGIRO", IF(M140=0, "SIN EXISTENCIAS", IF(M140&lt;=O140, "STOCK BAJO", "STOCK NORMAL")))</f>
        <v/>
      </c>
    </row>
    <row r="141">
      <c r="A141" t="n">
        <v>5807</v>
      </c>
      <c r="B141" t="inlineStr">
        <is>
          <t>COPA SIERRA 1"</t>
        </is>
      </c>
      <c r="C141" t="inlineStr">
        <is>
          <t>Materiales</t>
        </is>
      </c>
      <c r="D141" t="inlineStr">
        <is>
          <t>Unidad</t>
        </is>
      </c>
      <c r="E141" t="inlineStr">
        <is>
          <t>CDS</t>
        </is>
      </c>
      <c r="F141" t="n">
        <v>0</v>
      </c>
      <c r="G141" t="n">
        <v>0</v>
      </c>
      <c r="H141" t="n">
        <v>0</v>
      </c>
      <c r="I141" t="n">
        <v>0</v>
      </c>
      <c r="J141" t="n">
        <v>0</v>
      </c>
      <c r="K141" t="n">
        <v>0</v>
      </c>
      <c r="L141" t="n">
        <v>0</v>
      </c>
      <c r="M141">
        <f>F141+G141+H141+K141-I141-J141-L141</f>
        <v/>
      </c>
      <c r="N141" t="inlineStr">
        <is>
          <t>NO APLICA</t>
        </is>
      </c>
      <c r="O141" t="n">
        <v>5</v>
      </c>
      <c r="P141">
        <f>IF(M141&lt;0, "ERROR: SOBREGIRO", IF(M141=0, "SIN EXISTENCIAS", IF(M141&lt;=O141, "STOCK BAJO", "STOCK NORMAL")))</f>
        <v/>
      </c>
    </row>
    <row r="142">
      <c r="A142" t="n">
        <v>5809</v>
      </c>
      <c r="B142" t="inlineStr">
        <is>
          <t>COPA SIERRA 3/4"</t>
        </is>
      </c>
      <c r="C142" t="inlineStr">
        <is>
          <t>Materiales</t>
        </is>
      </c>
      <c r="D142" t="inlineStr">
        <is>
          <t>Unidad</t>
        </is>
      </c>
      <c r="E142" t="inlineStr">
        <is>
          <t>CDS</t>
        </is>
      </c>
      <c r="F142" t="n">
        <v>0</v>
      </c>
      <c r="G142" t="n">
        <v>0</v>
      </c>
      <c r="H142" t="n">
        <v>0</v>
      </c>
      <c r="I142" t="n">
        <v>0</v>
      </c>
      <c r="J142" t="n">
        <v>0</v>
      </c>
      <c r="K142" t="n">
        <v>0</v>
      </c>
      <c r="L142" t="n">
        <v>0</v>
      </c>
      <c r="M142">
        <f>F142+G142+H142+K142-I142-J142-L142</f>
        <v/>
      </c>
      <c r="N142" t="inlineStr">
        <is>
          <t>NO APLICA</t>
        </is>
      </c>
      <c r="O142" t="n">
        <v>5</v>
      </c>
      <c r="P142">
        <f>IF(M142&lt;0, "ERROR: SOBREGIRO", IF(M142=0, "SIN EXISTENCIAS", IF(M142&lt;=O142, "STOCK BAJO", "STOCK NORMAL")))</f>
        <v/>
      </c>
    </row>
    <row r="143">
      <c r="A143" t="n">
        <v>5813</v>
      </c>
      <c r="B143" t="inlineStr">
        <is>
          <t>PUNTA HEXAGONAL 6MM</t>
        </is>
      </c>
      <c r="C143" t="inlineStr">
        <is>
          <t>Materiales</t>
        </is>
      </c>
      <c r="D143" t="inlineStr">
        <is>
          <t>Unidad</t>
        </is>
      </c>
      <c r="E143" t="inlineStr">
        <is>
          <t>CDS</t>
        </is>
      </c>
      <c r="F143" t="n">
        <v>0</v>
      </c>
      <c r="G143" t="n">
        <v>0</v>
      </c>
      <c r="H143" t="n">
        <v>0</v>
      </c>
      <c r="I143" t="n">
        <v>0</v>
      </c>
      <c r="J143" t="n">
        <v>0</v>
      </c>
      <c r="K143" t="n">
        <v>0</v>
      </c>
      <c r="L143" t="n">
        <v>0</v>
      </c>
      <c r="M143">
        <f>F143+G143+H143+K143-I143-J143-L143</f>
        <v/>
      </c>
      <c r="N143" t="inlineStr">
        <is>
          <t>NO APLICA</t>
        </is>
      </c>
      <c r="O143" t="n">
        <v>5</v>
      </c>
      <c r="P143">
        <f>IF(M143&lt;0, "ERROR: SOBREGIRO", IF(M143=0, "SIN EXISTENCIAS", IF(M143&lt;=O143, "STOCK BAJO", "STOCK NORMAL")))</f>
        <v/>
      </c>
    </row>
    <row r="144">
      <c r="A144" t="n">
        <v>5825</v>
      </c>
      <c r="B144" t="inlineStr">
        <is>
          <t>TORNILLO AUTOPERFORANTE HEXAGONAL PUNTA BROCA 12-14 X 3/4"</t>
        </is>
      </c>
      <c r="C144" t="inlineStr">
        <is>
          <t>Tornilleria</t>
        </is>
      </c>
      <c r="D144" t="inlineStr">
        <is>
          <t>Unidad</t>
        </is>
      </c>
      <c r="E144" t="inlineStr">
        <is>
          <t>CDS</t>
        </is>
      </c>
      <c r="F144" t="n">
        <v>0</v>
      </c>
      <c r="G144" t="n">
        <v>0</v>
      </c>
      <c r="H144" t="n">
        <v>0</v>
      </c>
      <c r="I144" t="n">
        <v>0</v>
      </c>
      <c r="J144" t="n">
        <v>0</v>
      </c>
      <c r="K144" t="n">
        <v>0</v>
      </c>
      <c r="L144" t="n">
        <v>0</v>
      </c>
      <c r="M144">
        <f>F144+G144+H144+K144-I144-J144-L144</f>
        <v/>
      </c>
      <c r="N144" t="inlineStr">
        <is>
          <t>NO APLICA</t>
        </is>
      </c>
      <c r="O144" t="n">
        <v>5</v>
      </c>
      <c r="P144">
        <f>IF(M144&lt;0, "ERROR: SOBREGIRO", IF(M144=0, "SIN EXISTENCIAS", IF(M144&lt;=O144, "STOCK BAJO", "STOCK NORMAL")))</f>
        <v/>
      </c>
    </row>
    <row r="145">
      <c r="A145" t="n">
        <v>5826</v>
      </c>
      <c r="B145" t="inlineStr">
        <is>
          <t>TORNILLO AUTOPERFORANTE HEXAGONAL PUNTA BROCA ROSCA COMPLETA 2"</t>
        </is>
      </c>
      <c r="C145" t="inlineStr">
        <is>
          <t>Tornilleria</t>
        </is>
      </c>
      <c r="D145" t="inlineStr">
        <is>
          <t>Unidad</t>
        </is>
      </c>
      <c r="E145" t="inlineStr">
        <is>
          <t>CDS</t>
        </is>
      </c>
      <c r="F145" t="n">
        <v>0</v>
      </c>
      <c r="G145" t="n">
        <v>0</v>
      </c>
      <c r="H145" t="n">
        <v>0</v>
      </c>
      <c r="I145" t="n">
        <v>0</v>
      </c>
      <c r="J145" t="n">
        <v>0</v>
      </c>
      <c r="K145" t="n">
        <v>0</v>
      </c>
      <c r="L145" t="n">
        <v>0</v>
      </c>
      <c r="M145">
        <f>F145+G145+H145+K145-I145-J145-L145</f>
        <v/>
      </c>
      <c r="N145" t="inlineStr">
        <is>
          <t>NO APLICA</t>
        </is>
      </c>
      <c r="O145" t="n">
        <v>5</v>
      </c>
      <c r="P145">
        <f>IF(M145&lt;0, "ERROR: SOBREGIRO", IF(M145=0, "SIN EXISTENCIAS", IF(M145&lt;=O145, "STOCK BAJO", "STOCK NORMAL")))</f>
        <v/>
      </c>
    </row>
    <row r="146">
      <c r="A146" t="n">
        <v>5828</v>
      </c>
      <c r="B146" t="inlineStr">
        <is>
          <t>TORNILLO AUTOPERFORANTE HEXAGONAL PUNTA BROCA ROSCA COMPLETA 4"</t>
        </is>
      </c>
      <c r="C146" t="inlineStr">
        <is>
          <t>Tornilleria</t>
        </is>
      </c>
      <c r="D146" t="inlineStr">
        <is>
          <t>Unidad</t>
        </is>
      </c>
      <c r="E146" t="inlineStr">
        <is>
          <t>CDS</t>
        </is>
      </c>
      <c r="F146" t="n">
        <v>0</v>
      </c>
      <c r="G146" t="n">
        <v>0</v>
      </c>
      <c r="H146" t="n">
        <v>0</v>
      </c>
      <c r="I146" t="n">
        <v>0</v>
      </c>
      <c r="J146" t="n">
        <v>0</v>
      </c>
      <c r="K146" t="n">
        <v>0</v>
      </c>
      <c r="L146" t="n">
        <v>0</v>
      </c>
      <c r="M146">
        <f>F146+G146+H146+K146-I146-J146-L146</f>
        <v/>
      </c>
      <c r="N146" t="inlineStr">
        <is>
          <t>NO APLICA</t>
        </is>
      </c>
      <c r="O146" t="n">
        <v>5</v>
      </c>
      <c r="P146">
        <f>IF(M146&lt;0, "ERROR: SOBREGIRO", IF(M146=0, "SIN EXISTENCIAS", IF(M146&lt;=O146, "STOCK BAJO", "STOCK NORMAL")))</f>
        <v/>
      </c>
    </row>
    <row r="147">
      <c r="A147" t="n">
        <v>5833</v>
      </c>
      <c r="B147" t="inlineStr">
        <is>
          <t>TORNILLO HEXAGONAL PUNTA AGUDA 9-15 X 1 1/2"</t>
        </is>
      </c>
      <c r="C147" t="inlineStr">
        <is>
          <t>Tornilleria</t>
        </is>
      </c>
      <c r="D147" t="inlineStr">
        <is>
          <t>Unidad</t>
        </is>
      </c>
      <c r="E147" t="inlineStr">
        <is>
          <t>CDS</t>
        </is>
      </c>
      <c r="F147" t="n">
        <v>0</v>
      </c>
      <c r="G147" t="n">
        <v>0</v>
      </c>
      <c r="H147" t="n">
        <v>0</v>
      </c>
      <c r="I147" t="n">
        <v>0</v>
      </c>
      <c r="J147" t="n">
        <v>0</v>
      </c>
      <c r="K147" t="n">
        <v>0</v>
      </c>
      <c r="L147" t="n">
        <v>0</v>
      </c>
      <c r="M147">
        <f>F147+G147+H147+K147-I147-J147-L147</f>
        <v/>
      </c>
      <c r="N147" t="inlineStr">
        <is>
          <t>NO APLICA</t>
        </is>
      </c>
      <c r="O147" t="n">
        <v>5</v>
      </c>
      <c r="P147">
        <f>IF(M147&lt;0, "ERROR: SOBREGIRO", IF(M147=0, "SIN EXISTENCIAS", IF(M147&lt;=O147, "STOCK BAJO", "STOCK NORMAL")))</f>
        <v/>
      </c>
    </row>
    <row r="148">
      <c r="A148" t="n">
        <v>5834</v>
      </c>
      <c r="B148" t="inlineStr">
        <is>
          <t>TORNILLO HEXAGONAL PUNTA AGUDA 9-15 X 1"</t>
        </is>
      </c>
      <c r="C148" t="inlineStr">
        <is>
          <t>Tornilleria</t>
        </is>
      </c>
      <c r="D148" t="inlineStr">
        <is>
          <t>Unidad</t>
        </is>
      </c>
      <c r="E148" t="inlineStr">
        <is>
          <t>CDS</t>
        </is>
      </c>
      <c r="F148" t="n">
        <v>0</v>
      </c>
      <c r="G148" t="n">
        <v>0</v>
      </c>
      <c r="H148" t="n">
        <v>0</v>
      </c>
      <c r="I148" t="n">
        <v>0</v>
      </c>
      <c r="J148" t="n">
        <v>0</v>
      </c>
      <c r="K148" t="n">
        <v>0</v>
      </c>
      <c r="L148" t="n">
        <v>0</v>
      </c>
      <c r="M148">
        <f>F148+G148+H148+K148-I148-J148-L148</f>
        <v/>
      </c>
      <c r="N148" t="inlineStr">
        <is>
          <t>NO APLICA</t>
        </is>
      </c>
      <c r="O148" t="n">
        <v>5</v>
      </c>
      <c r="P148">
        <f>IF(M148&lt;0, "ERROR: SOBREGIRO", IF(M148=0, "SIN EXISTENCIAS", IF(M148&lt;=O148, "STOCK BAJO", "STOCK NORMAL")))</f>
        <v/>
      </c>
    </row>
    <row r="149">
      <c r="A149" t="n">
        <v>5838</v>
      </c>
      <c r="B149" t="inlineStr">
        <is>
          <t>TORNILLO TROPICALIZADO GRADO 8 3/8" X 1 1/2"</t>
        </is>
      </c>
      <c r="C149" t="inlineStr">
        <is>
          <t>Tornilleria</t>
        </is>
      </c>
      <c r="D149" t="inlineStr">
        <is>
          <t>Unidad</t>
        </is>
      </c>
      <c r="E149" t="inlineStr">
        <is>
          <t>CDS</t>
        </is>
      </c>
      <c r="F149" t="n">
        <v>0</v>
      </c>
      <c r="G149" t="n">
        <v>0</v>
      </c>
      <c r="H149" t="n">
        <v>0</v>
      </c>
      <c r="I149" t="n">
        <v>0</v>
      </c>
      <c r="J149" t="n">
        <v>0</v>
      </c>
      <c r="K149" t="n">
        <v>0</v>
      </c>
      <c r="L149" t="n">
        <v>0</v>
      </c>
      <c r="M149">
        <f>F149+G149+H149+K149-I149-J149-L149</f>
        <v/>
      </c>
      <c r="N149" t="inlineStr">
        <is>
          <t>NO APLICA</t>
        </is>
      </c>
      <c r="O149" t="n">
        <v>5</v>
      </c>
      <c r="P149">
        <f>IF(M149&lt;0, "ERROR: SOBREGIRO", IF(M149=0, "SIN EXISTENCIAS", IF(M149&lt;=O149, "STOCK BAJO", "STOCK NORMAL")))</f>
        <v/>
      </c>
    </row>
    <row r="150">
      <c r="A150" t="n">
        <v>5846</v>
      </c>
      <c r="B150" t="inlineStr">
        <is>
          <t>TUERCA GALVANIZADA EN CALIENTE 3/8"</t>
        </is>
      </c>
      <c r="C150" t="inlineStr">
        <is>
          <t>Tornilleria</t>
        </is>
      </c>
      <c r="D150" t="inlineStr">
        <is>
          <t>Unidad</t>
        </is>
      </c>
      <c r="E150" t="inlineStr">
        <is>
          <t>CDS</t>
        </is>
      </c>
      <c r="F150" t="n">
        <v>0</v>
      </c>
      <c r="G150" t="n">
        <v>0</v>
      </c>
      <c r="H150" t="n">
        <v>0</v>
      </c>
      <c r="I150" t="n">
        <v>0</v>
      </c>
      <c r="J150" t="n">
        <v>0</v>
      </c>
      <c r="K150" t="n">
        <v>0</v>
      </c>
      <c r="L150" t="n">
        <v>0</v>
      </c>
      <c r="M150">
        <f>F150+G150+H150+K150-I150-J150-L150</f>
        <v/>
      </c>
      <c r="N150" t="inlineStr">
        <is>
          <t>NO APLICA</t>
        </is>
      </c>
      <c r="O150" t="n">
        <v>5</v>
      </c>
      <c r="P150">
        <f>IF(M150&lt;0, "ERROR: SOBREGIRO", IF(M150=0, "SIN EXISTENCIAS", IF(M150&lt;=O150, "STOCK BAJO", "STOCK NORMAL")))</f>
        <v/>
      </c>
    </row>
    <row r="151">
      <c r="A151" t="n">
        <v>5849</v>
      </c>
      <c r="B151" t="inlineStr">
        <is>
          <t>TUERCA MORDAZA 3/8"</t>
        </is>
      </c>
      <c r="C151" t="inlineStr">
        <is>
          <t>Tornilleria</t>
        </is>
      </c>
      <c r="D151" t="inlineStr">
        <is>
          <t>Unidad</t>
        </is>
      </c>
      <c r="E151" t="inlineStr">
        <is>
          <t>CDS</t>
        </is>
      </c>
      <c r="F151" t="n">
        <v>268</v>
      </c>
      <c r="G151" t="n">
        <v>0</v>
      </c>
      <c r="H151" t="n">
        <v>0</v>
      </c>
      <c r="I151" t="n">
        <v>0</v>
      </c>
      <c r="J151" t="n">
        <v>0</v>
      </c>
      <c r="K151" t="n">
        <v>0</v>
      </c>
      <c r="L151" t="n">
        <v>0</v>
      </c>
      <c r="M151">
        <f>F151+G151+H151+K151-I151-J151-L151</f>
        <v/>
      </c>
      <c r="N151" t="inlineStr">
        <is>
          <t>NO APLICA</t>
        </is>
      </c>
      <c r="O151" t="n">
        <v>5</v>
      </c>
      <c r="P151">
        <f>IF(M151&lt;0, "ERROR: SOBREGIRO", IF(M151=0, "SIN EXISTENCIAS", IF(M151&lt;=O151, "STOCK BAJO", "STOCK NORMAL")))</f>
        <v/>
      </c>
    </row>
    <row r="152">
      <c r="A152" t="n">
        <v>5850</v>
      </c>
      <c r="B152" t="inlineStr">
        <is>
          <t>TUERCA TROPICALIZADA 3/8”</t>
        </is>
      </c>
      <c r="C152" t="inlineStr">
        <is>
          <t>Tornilleria</t>
        </is>
      </c>
      <c r="D152" t="inlineStr">
        <is>
          <t>Unidad</t>
        </is>
      </c>
      <c r="E152" t="inlineStr">
        <is>
          <t>CDS</t>
        </is>
      </c>
      <c r="F152" t="n">
        <v>0</v>
      </c>
      <c r="G152" t="n">
        <v>0</v>
      </c>
      <c r="H152" t="n">
        <v>0</v>
      </c>
      <c r="I152" t="n">
        <v>0</v>
      </c>
      <c r="J152" t="n">
        <v>0</v>
      </c>
      <c r="K152" t="n">
        <v>0</v>
      </c>
      <c r="L152" t="n">
        <v>0</v>
      </c>
      <c r="M152">
        <f>F152+G152+H152+K152-I152-J152-L152</f>
        <v/>
      </c>
      <c r="N152" t="inlineStr">
        <is>
          <t>NO APLICA</t>
        </is>
      </c>
      <c r="O152" t="n">
        <v>5</v>
      </c>
      <c r="P152">
        <f>IF(M152&lt;0, "ERROR: SOBREGIRO", IF(M152=0, "SIN EXISTENCIAS", IF(M152&lt;=O152, "STOCK BAJO", "STOCK NORMAL")))</f>
        <v/>
      </c>
    </row>
    <row r="153">
      <c r="A153" t="n">
        <v>5851</v>
      </c>
      <c r="B153" t="inlineStr">
        <is>
          <t>TUERCA TROPICALIZADA 5/16”</t>
        </is>
      </c>
      <c r="C153" t="inlineStr">
        <is>
          <t>Tornilleria</t>
        </is>
      </c>
      <c r="D153" t="inlineStr">
        <is>
          <t>Unidad</t>
        </is>
      </c>
      <c r="E153" t="inlineStr">
        <is>
          <t>CDS</t>
        </is>
      </c>
      <c r="F153" t="n">
        <v>0</v>
      </c>
      <c r="G153" t="n">
        <v>0</v>
      </c>
      <c r="H153" t="n">
        <v>0</v>
      </c>
      <c r="I153" t="n">
        <v>0</v>
      </c>
      <c r="J153" t="n">
        <v>0</v>
      </c>
      <c r="K153" t="n">
        <v>0</v>
      </c>
      <c r="L153" t="n">
        <v>0</v>
      </c>
      <c r="M153">
        <f>F153+G153+H153+K153-I153-J153-L153</f>
        <v/>
      </c>
      <c r="N153" t="inlineStr">
        <is>
          <t>NO APLICA</t>
        </is>
      </c>
      <c r="O153" t="n">
        <v>5</v>
      </c>
      <c r="P153">
        <f>IF(M153&lt;0, "ERROR: SOBREGIRO", IF(M153=0, "SIN EXISTENCIAS", IF(M153&lt;=O153, "STOCK BAJO", "STOCK NORMAL")))</f>
        <v/>
      </c>
    </row>
    <row r="154">
      <c r="A154" t="n">
        <v>5910</v>
      </c>
      <c r="B154" t="inlineStr">
        <is>
          <t>MEDIDOR MONOFASICO MEDIDA DIRECTA BIFILAR EMSI C2000</t>
        </is>
      </c>
      <c r="C154" t="inlineStr">
        <is>
          <t>Materiales</t>
        </is>
      </c>
      <c r="D154" t="inlineStr">
        <is>
          <t>Unidad</t>
        </is>
      </c>
      <c r="E154" t="inlineStr">
        <is>
          <t>CDS</t>
        </is>
      </c>
      <c r="F154" t="n">
        <v>0</v>
      </c>
      <c r="G154" t="n">
        <v>0</v>
      </c>
      <c r="H154" t="n">
        <v>0</v>
      </c>
      <c r="I154" t="n">
        <v>0</v>
      </c>
      <c r="J154" t="n">
        <v>0</v>
      </c>
      <c r="K154" t="n">
        <v>0</v>
      </c>
      <c r="L154" t="n">
        <v>0</v>
      </c>
      <c r="M154">
        <f>F154+G154+H154+K154-I154-J154-L154</f>
        <v/>
      </c>
      <c r="N154" t="inlineStr">
        <is>
          <t>NO APLICA</t>
        </is>
      </c>
      <c r="O154" t="n">
        <v>5</v>
      </c>
      <c r="P154">
        <f>IF(M154&lt;0, "ERROR: SOBREGIRO", IF(M154=0, "SIN EXISTENCIAS", IF(M154&lt;=O154, "STOCK BAJO", "STOCK NORMAL")))</f>
        <v/>
      </c>
    </row>
    <row r="155">
      <c r="A155" t="n">
        <v>5912</v>
      </c>
      <c r="B155" t="inlineStr">
        <is>
          <t>MEDIDOR TRIFASICO MEDIDA DIRECTA BIDIRECCION ELSTER</t>
        </is>
      </c>
      <c r="C155" t="inlineStr">
        <is>
          <t>Materiales</t>
        </is>
      </c>
      <c r="D155" t="inlineStr">
        <is>
          <t>Unidad</t>
        </is>
      </c>
      <c r="E155" t="inlineStr">
        <is>
          <t>CDS</t>
        </is>
      </c>
      <c r="F155" t="n">
        <v>0</v>
      </c>
      <c r="G155" t="n">
        <v>0</v>
      </c>
      <c r="H155" t="n">
        <v>0</v>
      </c>
      <c r="I155" t="n">
        <v>0</v>
      </c>
      <c r="J155" t="n">
        <v>0</v>
      </c>
      <c r="K155" t="n">
        <v>0</v>
      </c>
      <c r="L155" t="n">
        <v>0</v>
      </c>
      <c r="M155">
        <f>F155+G155+H155+K155-I155-J155-L155</f>
        <v/>
      </c>
      <c r="N155" t="inlineStr">
        <is>
          <t>NO APLICA</t>
        </is>
      </c>
      <c r="O155" t="n">
        <v>5</v>
      </c>
      <c r="P155">
        <f>IF(M155&lt;0, "ERROR: SOBREGIRO", IF(M155=0, "SIN EXISTENCIAS", IF(M155&lt;=O155, "STOCK BAJO", "STOCK NORMAL")))</f>
        <v/>
      </c>
    </row>
    <row r="156">
      <c r="A156" t="n">
        <v>5928</v>
      </c>
      <c r="B156" t="inlineStr">
        <is>
          <t>MODEM RS485 EMSI</t>
        </is>
      </c>
      <c r="C156" t="inlineStr">
        <is>
          <t>Materiales</t>
        </is>
      </c>
      <c r="D156" t="inlineStr">
        <is>
          <t>Unidad</t>
        </is>
      </c>
      <c r="E156" t="inlineStr">
        <is>
          <t>CDS</t>
        </is>
      </c>
      <c r="F156" t="n">
        <v>0</v>
      </c>
      <c r="G156" t="n">
        <v>0</v>
      </c>
      <c r="H156" t="n">
        <v>0</v>
      </c>
      <c r="I156" t="n">
        <v>0</v>
      </c>
      <c r="J156" t="n">
        <v>0</v>
      </c>
      <c r="K156" t="n">
        <v>0</v>
      </c>
      <c r="L156" t="n">
        <v>0</v>
      </c>
      <c r="M156">
        <f>F156+G156+H156+K156-I156-J156-L156</f>
        <v/>
      </c>
      <c r="N156" t="inlineStr">
        <is>
          <t>NO APLICA</t>
        </is>
      </c>
      <c r="O156" t="n">
        <v>5</v>
      </c>
      <c r="P156">
        <f>IF(M156&lt;0, "ERROR: SOBREGIRO", IF(M156=0, "SIN EXISTENCIAS", IF(M156&lt;=O156, "STOCK BAJO", "STOCK NORMAL")))</f>
        <v/>
      </c>
    </row>
    <row r="157">
      <c r="A157" t="n">
        <v>6156</v>
      </c>
      <c r="B157" t="inlineStr">
        <is>
          <t>ARANDELA TORNILLO M8</t>
        </is>
      </c>
      <c r="C157" t="inlineStr">
        <is>
          <t>Tornilleria</t>
        </is>
      </c>
      <c r="D157" t="inlineStr">
        <is>
          <t>Unidad</t>
        </is>
      </c>
      <c r="E157" t="inlineStr">
        <is>
          <t>CDS</t>
        </is>
      </c>
      <c r="F157" t="n">
        <v>0</v>
      </c>
      <c r="G157" t="n">
        <v>0</v>
      </c>
      <c r="H157" t="n">
        <v>0</v>
      </c>
      <c r="I157" t="n">
        <v>0</v>
      </c>
      <c r="J157" t="n">
        <v>0</v>
      </c>
      <c r="K157" t="n">
        <v>0</v>
      </c>
      <c r="L157" t="n">
        <v>0</v>
      </c>
      <c r="M157">
        <f>F157+G157+H157+K157-I157-J157-L157</f>
        <v/>
      </c>
      <c r="N157" t="inlineStr">
        <is>
          <t>NO APLICA</t>
        </is>
      </c>
      <c r="O157" t="n">
        <v>5</v>
      </c>
      <c r="P157">
        <f>IF(M157&lt;0, "ERROR: SOBREGIRO", IF(M157=0, "SIN EXISTENCIAS", IF(M157&lt;=O157, "STOCK BAJO", "STOCK NORMAL")))</f>
        <v/>
      </c>
    </row>
    <row r="158">
      <c r="A158" t="n">
        <v>6163</v>
      </c>
      <c r="B158" t="inlineStr">
        <is>
          <t>DISCO ALUMINIO 3MM ESPESOR 150MM</t>
        </is>
      </c>
      <c r="C158" t="inlineStr">
        <is>
          <t>Consumibles</t>
        </is>
      </c>
      <c r="D158" t="inlineStr">
        <is>
          <t>Unidad</t>
        </is>
      </c>
      <c r="E158" t="inlineStr">
        <is>
          <t>CDS</t>
        </is>
      </c>
      <c r="F158" t="n">
        <v>0</v>
      </c>
      <c r="G158" t="n">
        <v>0</v>
      </c>
      <c r="H158" t="n">
        <v>0</v>
      </c>
      <c r="I158" t="n">
        <v>0</v>
      </c>
      <c r="J158" t="n">
        <v>0</v>
      </c>
      <c r="K158" t="n">
        <v>0</v>
      </c>
      <c r="L158" t="n">
        <v>0</v>
      </c>
      <c r="M158">
        <f>F158+G158+H158+K158-I158-J158-L158</f>
        <v/>
      </c>
      <c r="N158" t="inlineStr">
        <is>
          <t>NO APLICA</t>
        </is>
      </c>
      <c r="O158" t="n">
        <v>5</v>
      </c>
      <c r="P158">
        <f>IF(M158&lt;0, "ERROR: SOBREGIRO", IF(M158=0, "SIN EXISTENCIAS", IF(M158&lt;=O158, "STOCK BAJO", "STOCK NORMAL")))</f>
        <v/>
      </c>
    </row>
    <row r="159">
      <c r="A159" t="n">
        <v>6164</v>
      </c>
      <c r="B159" t="inlineStr">
        <is>
          <t>ECLAMP 30 MM</t>
        </is>
      </c>
      <c r="C159" t="inlineStr">
        <is>
          <t>Materiales</t>
        </is>
      </c>
      <c r="D159" t="inlineStr">
        <is>
          <t>Unidad</t>
        </is>
      </c>
      <c r="E159" t="inlineStr">
        <is>
          <t>CDS</t>
        </is>
      </c>
      <c r="F159" t="n">
        <v>246</v>
      </c>
      <c r="G159" t="n">
        <v>0</v>
      </c>
      <c r="H159" t="n">
        <v>0</v>
      </c>
      <c r="I159" t="n">
        <v>0</v>
      </c>
      <c r="J159" t="n">
        <v>0</v>
      </c>
      <c r="K159" t="n">
        <v>0</v>
      </c>
      <c r="L159" t="n">
        <v>0</v>
      </c>
      <c r="M159">
        <f>F159+G159+H159+K159-I159-J159-L159</f>
        <v/>
      </c>
      <c r="N159" t="inlineStr">
        <is>
          <t>NO APLICA</t>
        </is>
      </c>
      <c r="O159" t="n">
        <v>5</v>
      </c>
      <c r="P159">
        <f>IF(M159&lt;0, "ERROR: SOBREGIRO", IF(M159=0, "SIN EXISTENCIAS", IF(M159&lt;=O159, "STOCK BAJO", "STOCK NORMAL")))</f>
        <v/>
      </c>
    </row>
    <row r="160">
      <c r="A160" t="n">
        <v>6165</v>
      </c>
      <c r="B160" t="inlineStr">
        <is>
          <t>ECLAMP 35 MM</t>
        </is>
      </c>
      <c r="C160" t="inlineStr">
        <is>
          <t>Materiales</t>
        </is>
      </c>
      <c r="D160" t="inlineStr">
        <is>
          <t>Unidad</t>
        </is>
      </c>
      <c r="E160" t="inlineStr">
        <is>
          <t>CDS</t>
        </is>
      </c>
      <c r="F160" t="n">
        <v>776</v>
      </c>
      <c r="G160" t="n">
        <v>0</v>
      </c>
      <c r="H160" t="n">
        <v>0</v>
      </c>
      <c r="I160" t="n">
        <v>0</v>
      </c>
      <c r="J160" t="n">
        <v>0</v>
      </c>
      <c r="K160" t="n">
        <v>0</v>
      </c>
      <c r="L160" t="n">
        <v>0</v>
      </c>
      <c r="M160">
        <f>F160+G160+H160+K160-I160-J160-L160</f>
        <v/>
      </c>
      <c r="N160" t="inlineStr">
        <is>
          <t>NO APLICA</t>
        </is>
      </c>
      <c r="O160" t="n">
        <v>5</v>
      </c>
      <c r="P160">
        <f>IF(M160&lt;0, "ERROR: SOBREGIRO", IF(M160=0, "SIN EXISTENCIAS", IF(M160&lt;=O160, "STOCK BAJO", "STOCK NORMAL")))</f>
        <v/>
      </c>
    </row>
    <row r="161">
      <c r="A161" t="n">
        <v>6166</v>
      </c>
      <c r="B161" t="inlineStr">
        <is>
          <t>ECLAMP 40 MM</t>
        </is>
      </c>
      <c r="C161" t="inlineStr">
        <is>
          <t>Materiales</t>
        </is>
      </c>
      <c r="D161" t="inlineStr">
        <is>
          <t>Unidad</t>
        </is>
      </c>
      <c r="E161" t="inlineStr">
        <is>
          <t>CDS</t>
        </is>
      </c>
      <c r="F161" t="n">
        <v>248</v>
      </c>
      <c r="G161" t="n">
        <v>0</v>
      </c>
      <c r="H161" t="n">
        <v>0</v>
      </c>
      <c r="I161" t="n">
        <v>0</v>
      </c>
      <c r="J161" t="n">
        <v>0</v>
      </c>
      <c r="K161" t="n">
        <v>0</v>
      </c>
      <c r="L161" t="n">
        <v>0</v>
      </c>
      <c r="M161">
        <f>F161+G161+H161+K161-I161-J161-L161</f>
        <v/>
      </c>
      <c r="N161" t="inlineStr">
        <is>
          <t>NO APLICA</t>
        </is>
      </c>
      <c r="O161" t="n">
        <v>5</v>
      </c>
      <c r="P161">
        <f>IF(M161&lt;0, "ERROR: SOBREGIRO", IF(M161=0, "SIN EXISTENCIAS", IF(M161&lt;=O161, "STOCK BAJO", "STOCK NORMAL")))</f>
        <v/>
      </c>
    </row>
    <row r="162">
      <c r="A162" t="n">
        <v>6167</v>
      </c>
      <c r="B162" t="inlineStr">
        <is>
          <t>GCLAMP 3 TORNILLOS</t>
        </is>
      </c>
      <c r="C162" t="inlineStr">
        <is>
          <t>Tornilleria</t>
        </is>
      </c>
      <c r="D162" t="inlineStr">
        <is>
          <t>Unidad</t>
        </is>
      </c>
      <c r="E162" t="inlineStr">
        <is>
          <t>CDS</t>
        </is>
      </c>
      <c r="F162" t="n">
        <v>282</v>
      </c>
      <c r="G162" t="n">
        <v>0</v>
      </c>
      <c r="H162" t="n">
        <v>0</v>
      </c>
      <c r="I162" t="n">
        <v>0</v>
      </c>
      <c r="J162" t="n">
        <v>0</v>
      </c>
      <c r="K162" t="n">
        <v>0</v>
      </c>
      <c r="L162" t="n">
        <v>0</v>
      </c>
      <c r="M162">
        <f>F162+G162+H162+K162-I162-J162-L162</f>
        <v/>
      </c>
      <c r="N162" t="inlineStr">
        <is>
          <t>NO APLICA</t>
        </is>
      </c>
      <c r="O162" t="n">
        <v>5</v>
      </c>
      <c r="P162">
        <f>IF(M162&lt;0, "ERROR: SOBREGIRO", IF(M162=0, "SIN EXISTENCIAS", IF(M162&lt;=O162, "STOCK BAJO", "STOCK NORMAL")))</f>
        <v/>
      </c>
    </row>
    <row r="163">
      <c r="A163" t="n">
        <v>6169</v>
      </c>
      <c r="B163" t="inlineStr">
        <is>
          <t>GCLAMP PESTAÑA ANCHA</t>
        </is>
      </c>
      <c r="C163" t="inlineStr">
        <is>
          <t>Materiales</t>
        </is>
      </c>
      <c r="D163" t="inlineStr">
        <is>
          <t>Unidad</t>
        </is>
      </c>
      <c r="E163" t="inlineStr">
        <is>
          <t>CDS</t>
        </is>
      </c>
      <c r="F163" t="n">
        <v>234</v>
      </c>
      <c r="G163" t="n">
        <v>0</v>
      </c>
      <c r="H163" t="n">
        <v>0</v>
      </c>
      <c r="I163" t="n">
        <v>0</v>
      </c>
      <c r="J163" t="n">
        <v>0</v>
      </c>
      <c r="K163" t="n">
        <v>0</v>
      </c>
      <c r="L163" t="n">
        <v>0</v>
      </c>
      <c r="M163">
        <f>F163+G163+H163+K163-I163-J163-L163</f>
        <v/>
      </c>
      <c r="N163" t="inlineStr">
        <is>
          <t>NO APLICA</t>
        </is>
      </c>
      <c r="O163" t="n">
        <v>5</v>
      </c>
      <c r="P163">
        <f>IF(M163&lt;0, "ERROR: SOBREGIRO", IF(M163=0, "SIN EXISTENCIAS", IF(M163&lt;=O163, "STOCK BAJO", "STOCK NORMAL")))</f>
        <v/>
      </c>
    </row>
    <row r="164">
      <c r="A164" t="n">
        <v>6170</v>
      </c>
      <c r="B164" t="inlineStr">
        <is>
          <t>GROUND CLAMP</t>
        </is>
      </c>
      <c r="C164" t="inlineStr">
        <is>
          <t>Materiales</t>
        </is>
      </c>
      <c r="D164" t="inlineStr">
        <is>
          <t>Unidad</t>
        </is>
      </c>
      <c r="E164" t="inlineStr">
        <is>
          <t>CDS</t>
        </is>
      </c>
      <c r="F164" t="n">
        <v>16</v>
      </c>
      <c r="G164" t="n">
        <v>0</v>
      </c>
      <c r="H164" t="n">
        <v>0</v>
      </c>
      <c r="I164" t="n">
        <v>0</v>
      </c>
      <c r="J164" t="n">
        <v>0</v>
      </c>
      <c r="K164" t="n">
        <v>0</v>
      </c>
      <c r="L164" t="n">
        <v>0</v>
      </c>
      <c r="M164">
        <f>F164+G164+H164+K164-I164-J164-L164</f>
        <v/>
      </c>
      <c r="N164" t="inlineStr">
        <is>
          <t>NO APLICA</t>
        </is>
      </c>
      <c r="O164" t="n">
        <v>5</v>
      </c>
      <c r="P164">
        <f>IF(M164&lt;0, "ERROR: SOBREGIRO", IF(M164=0, "SIN EXISTENCIAS", IF(M164&lt;=O164, "STOCK BAJO", "STOCK NORMAL")))</f>
        <v/>
      </c>
    </row>
    <row r="165">
      <c r="A165" t="n">
        <v>6171</v>
      </c>
      <c r="B165" t="inlineStr">
        <is>
          <t>L DOBLE TORNILLO</t>
        </is>
      </c>
      <c r="C165" t="inlineStr">
        <is>
          <t>Tornilleria</t>
        </is>
      </c>
      <c r="D165" t="inlineStr">
        <is>
          <t>Unidad</t>
        </is>
      </c>
      <c r="E165" t="inlineStr">
        <is>
          <t>CDS</t>
        </is>
      </c>
      <c r="F165" t="n">
        <v>293</v>
      </c>
      <c r="G165" t="n">
        <v>0</v>
      </c>
      <c r="H165" t="n">
        <v>0</v>
      </c>
      <c r="I165" t="n">
        <v>0</v>
      </c>
      <c r="J165" t="n">
        <v>0</v>
      </c>
      <c r="K165" t="n">
        <v>0</v>
      </c>
      <c r="L165" t="n">
        <v>0</v>
      </c>
      <c r="M165">
        <f>F165+G165+H165+K165-I165-J165-L165</f>
        <v/>
      </c>
      <c r="N165" t="inlineStr">
        <is>
          <t>NO APLICA</t>
        </is>
      </c>
      <c r="O165" t="n">
        <v>5</v>
      </c>
      <c r="P165">
        <f>IF(M165&lt;0, "ERROR: SOBREGIRO", IF(M165=0, "SIN EXISTENCIAS", IF(M165&lt;=O165, "STOCK BAJO", "STOCK NORMAL")))</f>
        <v/>
      </c>
    </row>
    <row r="166">
      <c r="A166" t="n">
        <v>6172</v>
      </c>
      <c r="B166" t="inlineStr">
        <is>
          <t>L TORNILLO SENCILLO</t>
        </is>
      </c>
      <c r="C166" t="inlineStr">
        <is>
          <t>Tornilleria</t>
        </is>
      </c>
      <c r="D166" t="inlineStr">
        <is>
          <t>Unidad</t>
        </is>
      </c>
      <c r="E166" t="inlineStr">
        <is>
          <t>CDS</t>
        </is>
      </c>
      <c r="F166" t="n">
        <v>0</v>
      </c>
      <c r="G166" t="n">
        <v>0</v>
      </c>
      <c r="H166" t="n">
        <v>0</v>
      </c>
      <c r="I166" t="n">
        <v>0</v>
      </c>
      <c r="J166" t="n">
        <v>0</v>
      </c>
      <c r="K166" t="n">
        <v>0</v>
      </c>
      <c r="L166" t="n">
        <v>0</v>
      </c>
      <c r="M166">
        <f>F166+G166+H166+K166-I166-J166-L166</f>
        <v/>
      </c>
      <c r="N166" t="inlineStr">
        <is>
          <t>NO APLICA</t>
        </is>
      </c>
      <c r="O166" t="n">
        <v>5</v>
      </c>
      <c r="P166">
        <f>IF(M166&lt;0, "ERROR: SOBREGIRO", IF(M166=0, "SIN EXISTENCIAS", IF(M166&lt;=O166, "STOCK BAJO", "STOCK NORMAL")))</f>
        <v/>
      </c>
    </row>
    <row r="167">
      <c r="A167" t="n">
        <v>6173</v>
      </c>
      <c r="B167" t="inlineStr">
        <is>
          <t>MCLAMP 30 MM</t>
        </is>
      </c>
      <c r="C167" t="inlineStr">
        <is>
          <t>Materiales</t>
        </is>
      </c>
      <c r="D167" t="inlineStr">
        <is>
          <t>Unidad</t>
        </is>
      </c>
      <c r="E167" t="inlineStr">
        <is>
          <t>CDS</t>
        </is>
      </c>
      <c r="F167" t="n">
        <v>447</v>
      </c>
      <c r="G167" t="n">
        <v>0</v>
      </c>
      <c r="H167" t="n">
        <v>0</v>
      </c>
      <c r="I167" t="n">
        <v>0</v>
      </c>
      <c r="J167" t="n">
        <v>0</v>
      </c>
      <c r="K167" t="n">
        <v>0</v>
      </c>
      <c r="L167" t="n">
        <v>0</v>
      </c>
      <c r="M167">
        <f>F167+G167+H167+K167-I167-J167-L167</f>
        <v/>
      </c>
      <c r="N167" t="inlineStr">
        <is>
          <t>NO APLICA</t>
        </is>
      </c>
      <c r="O167" t="n">
        <v>5</v>
      </c>
      <c r="P167">
        <f>IF(M167&lt;0, "ERROR: SOBREGIRO", IF(M167=0, "SIN EXISTENCIAS", IF(M167&lt;=O167, "STOCK BAJO", "STOCK NORMAL")))</f>
        <v/>
      </c>
    </row>
    <row r="168">
      <c r="A168" t="n">
        <v>6174</v>
      </c>
      <c r="B168" t="inlineStr">
        <is>
          <t>MCLAMP 35 MM</t>
        </is>
      </c>
      <c r="C168" t="inlineStr">
        <is>
          <t>Materiales</t>
        </is>
      </c>
      <c r="D168" t="inlineStr">
        <is>
          <t>Unidad</t>
        </is>
      </c>
      <c r="E168" t="inlineStr">
        <is>
          <t>CDS</t>
        </is>
      </c>
      <c r="F168" t="n">
        <v>38</v>
      </c>
      <c r="G168" t="n">
        <v>0</v>
      </c>
      <c r="H168" t="n">
        <v>0</v>
      </c>
      <c r="I168" t="n">
        <v>0</v>
      </c>
      <c r="J168" t="n">
        <v>0</v>
      </c>
      <c r="K168" t="n">
        <v>0</v>
      </c>
      <c r="L168" t="n">
        <v>0</v>
      </c>
      <c r="M168">
        <f>F168+G168+H168+K168-I168-J168-L168</f>
        <v/>
      </c>
      <c r="N168" t="inlineStr">
        <is>
          <t>NO APLICA</t>
        </is>
      </c>
      <c r="O168" t="n">
        <v>5</v>
      </c>
      <c r="P168">
        <f>IF(M168&lt;0, "ERROR: SOBREGIRO", IF(M168=0, "SIN EXISTENCIAS", IF(M168&lt;=O168, "STOCK BAJO", "STOCK NORMAL")))</f>
        <v/>
      </c>
    </row>
    <row r="169">
      <c r="A169" t="n">
        <v>6175</v>
      </c>
      <c r="B169" t="inlineStr">
        <is>
          <t>MCLAMP 40 MM</t>
        </is>
      </c>
      <c r="C169" t="inlineStr">
        <is>
          <t>Materiales</t>
        </is>
      </c>
      <c r="D169" t="inlineStr">
        <is>
          <t>Unidad</t>
        </is>
      </c>
      <c r="E169" t="inlineStr">
        <is>
          <t>CDS</t>
        </is>
      </c>
      <c r="F169" t="n">
        <v>376</v>
      </c>
      <c r="G169" t="n">
        <v>0</v>
      </c>
      <c r="H169" t="n">
        <v>0</v>
      </c>
      <c r="I169" t="n">
        <v>0</v>
      </c>
      <c r="J169" t="n">
        <v>0</v>
      </c>
      <c r="K169" t="n">
        <v>0</v>
      </c>
      <c r="L169" t="n">
        <v>0</v>
      </c>
      <c r="M169">
        <f>F169+G169+H169+K169-I169-J169-L169</f>
        <v/>
      </c>
      <c r="N169" t="inlineStr">
        <is>
          <t>NO APLICA</t>
        </is>
      </c>
      <c r="O169" t="n">
        <v>5</v>
      </c>
      <c r="P169">
        <f>IF(M169&lt;0, "ERROR: SOBREGIRO", IF(M169=0, "SIN EXISTENCIAS", IF(M169&lt;=O169, "STOCK BAJO", "STOCK NORMAL")))</f>
        <v/>
      </c>
    </row>
    <row r="170">
      <c r="A170" t="n">
        <v>6207</v>
      </c>
      <c r="B170" t="inlineStr">
        <is>
          <t>MRAIL 3,2 M</t>
        </is>
      </c>
      <c r="C170" t="inlineStr">
        <is>
          <t>Materiales</t>
        </is>
      </c>
      <c r="D170" t="inlineStr">
        <is>
          <t>Unidad</t>
        </is>
      </c>
      <c r="E170" t="inlineStr">
        <is>
          <t>CDS</t>
        </is>
      </c>
      <c r="F170" t="n">
        <v>0</v>
      </c>
      <c r="G170" t="n">
        <v>0</v>
      </c>
      <c r="H170" t="n">
        <v>0</v>
      </c>
      <c r="I170" t="n">
        <v>0</v>
      </c>
      <c r="J170" t="n">
        <v>0</v>
      </c>
      <c r="K170" t="n">
        <v>0</v>
      </c>
      <c r="L170" t="n">
        <v>0</v>
      </c>
      <c r="M170">
        <f>F170+G170+H170+K170-I170-J170-L170</f>
        <v/>
      </c>
      <c r="N170" t="inlineStr">
        <is>
          <t>NO APLICA</t>
        </is>
      </c>
      <c r="O170" t="n">
        <v>5</v>
      </c>
      <c r="P170">
        <f>IF(M170&lt;0, "ERROR: SOBREGIRO", IF(M170=0, "SIN EXISTENCIAS", IF(M170&lt;=O170, "STOCK BAJO", "STOCK NORMAL")))</f>
        <v/>
      </c>
    </row>
    <row r="171">
      <c r="A171" t="n">
        <v>6217</v>
      </c>
      <c r="B171" t="inlineStr">
        <is>
          <t>MRAIL 4,15 M</t>
        </is>
      </c>
      <c r="C171" t="inlineStr">
        <is>
          <t>Materiales</t>
        </is>
      </c>
      <c r="D171" t="inlineStr">
        <is>
          <t>Unidad</t>
        </is>
      </c>
      <c r="E171" t="inlineStr">
        <is>
          <t>CDS</t>
        </is>
      </c>
      <c r="F171" t="n">
        <v>0</v>
      </c>
      <c r="G171" t="n">
        <v>0</v>
      </c>
      <c r="H171" t="n">
        <v>0</v>
      </c>
      <c r="I171" t="n">
        <v>0</v>
      </c>
      <c r="J171" t="n">
        <v>0</v>
      </c>
      <c r="K171" t="n">
        <v>0</v>
      </c>
      <c r="L171" t="n">
        <v>0</v>
      </c>
      <c r="M171">
        <f>F171+G171+H171+K171-I171-J171-L171</f>
        <v/>
      </c>
      <c r="N171" t="inlineStr">
        <is>
          <t>NO APLICA</t>
        </is>
      </c>
      <c r="O171" t="n">
        <v>5</v>
      </c>
      <c r="P171">
        <f>IF(M171&lt;0, "ERROR: SOBREGIRO", IF(M171=0, "SIN EXISTENCIAS", IF(M171&lt;=O171, "STOCK BAJO", "STOCK NORMAL")))</f>
        <v/>
      </c>
    </row>
    <row r="172">
      <c r="A172" t="n">
        <v>6238</v>
      </c>
      <c r="B172" t="inlineStr">
        <is>
          <t>MRAIL 6,2 M</t>
        </is>
      </c>
      <c r="C172" t="inlineStr">
        <is>
          <t>Materiales</t>
        </is>
      </c>
      <c r="D172" t="inlineStr">
        <is>
          <t>Unidad</t>
        </is>
      </c>
      <c r="E172" t="inlineStr">
        <is>
          <t>CDS</t>
        </is>
      </c>
      <c r="F172" t="n">
        <v>0</v>
      </c>
      <c r="G172" t="n">
        <v>0</v>
      </c>
      <c r="H172" t="n">
        <v>0</v>
      </c>
      <c r="I172" t="n">
        <v>0</v>
      </c>
      <c r="J172" t="n">
        <v>0</v>
      </c>
      <c r="K172" t="n">
        <v>0</v>
      </c>
      <c r="L172" t="n">
        <v>0</v>
      </c>
      <c r="M172">
        <f>F172+G172+H172+K172-I172-J172-L172</f>
        <v/>
      </c>
      <c r="N172" t="inlineStr">
        <is>
          <t>NO APLICA</t>
        </is>
      </c>
      <c r="O172" t="n">
        <v>5</v>
      </c>
      <c r="P172">
        <f>IF(M172&lt;0, "ERROR: SOBREGIRO", IF(M172=0, "SIN EXISTENCIAS", IF(M172&lt;=O172, "STOCK BAJO", "STOCK NORMAL")))</f>
        <v/>
      </c>
    </row>
    <row r="173">
      <c r="A173" t="n">
        <v>6240</v>
      </c>
      <c r="B173" t="inlineStr">
        <is>
          <t>SOPORTE TEJA DE BARRO (Z)</t>
        </is>
      </c>
      <c r="C173" t="inlineStr">
        <is>
          <t>Materiales</t>
        </is>
      </c>
      <c r="D173" t="inlineStr">
        <is>
          <t>Unidad</t>
        </is>
      </c>
      <c r="E173" t="inlineStr">
        <is>
          <t>CDS</t>
        </is>
      </c>
      <c r="F173" t="n">
        <v>91</v>
      </c>
      <c r="G173" t="n">
        <v>0</v>
      </c>
      <c r="H173" t="n">
        <v>0</v>
      </c>
      <c r="I173" t="n">
        <v>0</v>
      </c>
      <c r="J173" t="n">
        <v>0</v>
      </c>
      <c r="K173" t="n">
        <v>0</v>
      </c>
      <c r="L173" t="n">
        <v>0</v>
      </c>
      <c r="M173">
        <f>F173+G173+H173+K173-I173-J173-L173</f>
        <v/>
      </c>
      <c r="N173" t="inlineStr">
        <is>
          <t>NO APLICA</t>
        </is>
      </c>
      <c r="O173" t="n">
        <v>5</v>
      </c>
      <c r="P173">
        <f>IF(M173&lt;0, "ERROR: SOBREGIRO", IF(M173=0, "SIN EXISTENCIAS", IF(M173&lt;=O173, "STOCK BAJO", "STOCK NORMAL")))</f>
        <v/>
      </c>
    </row>
    <row r="174">
      <c r="A174" t="n">
        <v>6241</v>
      </c>
      <c r="B174" t="inlineStr">
        <is>
          <t>SOPORTE TEJA TRAPEZOIDAL</t>
        </is>
      </c>
      <c r="C174" t="inlineStr">
        <is>
          <t>Materiales</t>
        </is>
      </c>
      <c r="D174" t="inlineStr">
        <is>
          <t>Unidad</t>
        </is>
      </c>
      <c r="E174" t="inlineStr">
        <is>
          <t>CDS</t>
        </is>
      </c>
      <c r="F174" t="n">
        <v>285</v>
      </c>
      <c r="G174" t="n">
        <v>0</v>
      </c>
      <c r="H174" t="n">
        <v>0</v>
      </c>
      <c r="I174" t="n">
        <v>0</v>
      </c>
      <c r="J174" t="n">
        <v>0</v>
      </c>
      <c r="K174" t="n">
        <v>0</v>
      </c>
      <c r="L174" t="n">
        <v>0</v>
      </c>
      <c r="M174">
        <f>F174+G174+H174+K174-I174-J174-L174</f>
        <v/>
      </c>
      <c r="N174" t="inlineStr">
        <is>
          <t>NO APLICA</t>
        </is>
      </c>
      <c r="O174" t="n">
        <v>5</v>
      </c>
      <c r="P174">
        <f>IF(M174&lt;0, "ERROR: SOBREGIRO", IF(M174=0, "SIN EXISTENCIAS", IF(M174&lt;=O174, "STOCK BAJO", "STOCK NORMAL")))</f>
        <v/>
      </c>
    </row>
    <row r="175">
      <c r="A175" t="n">
        <v>6250</v>
      </c>
      <c r="B175" t="inlineStr">
        <is>
          <t>TORNILLO M8X20</t>
        </is>
      </c>
      <c r="C175" t="inlineStr">
        <is>
          <t>Tornilleria</t>
        </is>
      </c>
      <c r="D175" t="inlineStr">
        <is>
          <t>Unidad</t>
        </is>
      </c>
      <c r="E175" t="inlineStr">
        <is>
          <t>CDS</t>
        </is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  <c r="L175" t="n">
        <v>0</v>
      </c>
      <c r="M175">
        <f>F175+G175+H175+K175-I175-J175-L175</f>
        <v/>
      </c>
      <c r="N175" t="inlineStr">
        <is>
          <t>NO APLICA</t>
        </is>
      </c>
      <c r="O175" t="n">
        <v>5</v>
      </c>
      <c r="P175">
        <f>IF(M175&lt;0, "ERROR: SOBREGIRO", IF(M175=0, "SIN EXISTENCIAS", IF(M175&lt;=O175, "STOCK BAJO", "STOCK NORMAL")))</f>
        <v/>
      </c>
    </row>
    <row r="176">
      <c r="A176" t="n">
        <v>6251</v>
      </c>
      <c r="B176" t="inlineStr">
        <is>
          <t>TORNILLO M8X25</t>
        </is>
      </c>
      <c r="C176" t="inlineStr">
        <is>
          <t>Tornilleria</t>
        </is>
      </c>
      <c r="D176" t="inlineStr">
        <is>
          <t>Unidad</t>
        </is>
      </c>
      <c r="E176" t="inlineStr">
        <is>
          <t>CDS</t>
        </is>
      </c>
      <c r="F176" t="n">
        <v>0</v>
      </c>
      <c r="G176" t="n">
        <v>0</v>
      </c>
      <c r="H176" t="n">
        <v>0</v>
      </c>
      <c r="I176" t="n">
        <v>0</v>
      </c>
      <c r="J176" t="n">
        <v>0</v>
      </c>
      <c r="K176" t="n">
        <v>0</v>
      </c>
      <c r="L176" t="n">
        <v>0</v>
      </c>
      <c r="M176">
        <f>F176+G176+H176+K176-I176-J176-L176</f>
        <v/>
      </c>
      <c r="N176" t="inlineStr">
        <is>
          <t>NO APLICA</t>
        </is>
      </c>
      <c r="O176" t="n">
        <v>5</v>
      </c>
      <c r="P176">
        <f>IF(M176&lt;0, "ERROR: SOBREGIRO", IF(M176=0, "SIN EXISTENCIAS", IF(M176&lt;=O176, "STOCK BAJO", "STOCK NORMAL")))</f>
        <v/>
      </c>
    </row>
    <row r="177">
      <c r="A177" t="n">
        <v>6252</v>
      </c>
      <c r="B177" t="inlineStr">
        <is>
          <t>TORNILLO M8X30</t>
        </is>
      </c>
      <c r="C177" t="inlineStr">
        <is>
          <t>Tornilleria</t>
        </is>
      </c>
      <c r="D177" t="inlineStr">
        <is>
          <t>Unidad</t>
        </is>
      </c>
      <c r="E177" t="inlineStr">
        <is>
          <t>CDS</t>
        </is>
      </c>
      <c r="F177" t="n">
        <v>0</v>
      </c>
      <c r="G177" t="n">
        <v>0</v>
      </c>
      <c r="H177" t="n">
        <v>0</v>
      </c>
      <c r="I177" t="n">
        <v>0</v>
      </c>
      <c r="J177" t="n">
        <v>0</v>
      </c>
      <c r="K177" t="n">
        <v>0</v>
      </c>
      <c r="L177" t="n">
        <v>0</v>
      </c>
      <c r="M177">
        <f>F177+G177+H177+K177-I177-J177-L177</f>
        <v/>
      </c>
      <c r="N177" t="inlineStr">
        <is>
          <t>NO APLICA</t>
        </is>
      </c>
      <c r="O177" t="n">
        <v>5</v>
      </c>
      <c r="P177">
        <f>IF(M177&lt;0, "ERROR: SOBREGIRO", IF(M177=0, "SIN EXISTENCIAS", IF(M177&lt;=O177, "STOCK BAJO", "STOCK NORMAL")))</f>
        <v/>
      </c>
    </row>
    <row r="178">
      <c r="A178" t="n">
        <v>6254</v>
      </c>
      <c r="B178" t="inlineStr">
        <is>
          <t>TUERCA PERFIL M8</t>
        </is>
      </c>
      <c r="C178" t="inlineStr">
        <is>
          <t>Tornilleria</t>
        </is>
      </c>
      <c r="D178" t="inlineStr">
        <is>
          <t>Metro</t>
        </is>
      </c>
      <c r="E178" t="inlineStr">
        <is>
          <t>CDS</t>
        </is>
      </c>
      <c r="F178" t="n">
        <v>0</v>
      </c>
      <c r="G178" t="n">
        <v>0</v>
      </c>
      <c r="H178" t="n">
        <v>0</v>
      </c>
      <c r="I178" t="n">
        <v>0</v>
      </c>
      <c r="J178" t="n">
        <v>0</v>
      </c>
      <c r="K178" t="n">
        <v>0</v>
      </c>
      <c r="L178" t="n">
        <v>0</v>
      </c>
      <c r="M178">
        <f>F178+G178+H178+K178-I178-J178-L178</f>
        <v/>
      </c>
      <c r="N178" t="inlineStr">
        <is>
          <t>NO APLICA</t>
        </is>
      </c>
      <c r="O178" t="n">
        <v>5</v>
      </c>
      <c r="P178">
        <f>IF(M178&lt;0, "ERROR: SOBREGIRO", IF(M178=0, "SIN EXISTENCIAS", IF(M178&lt;=O178, "STOCK BAJO", "STOCK NORMAL")))</f>
        <v/>
      </c>
    </row>
    <row r="179">
      <c r="A179" t="n">
        <v>6255</v>
      </c>
      <c r="B179" t="inlineStr">
        <is>
          <t>UNION PERFIL SIN TORNILLO</t>
        </is>
      </c>
      <c r="C179" t="inlineStr">
        <is>
          <t>Tornilleria</t>
        </is>
      </c>
      <c r="D179" t="inlineStr">
        <is>
          <t>Metro</t>
        </is>
      </c>
      <c r="E179" t="inlineStr">
        <is>
          <t>CDS</t>
        </is>
      </c>
      <c r="F179" t="n">
        <v>0</v>
      </c>
      <c r="G179" t="n">
        <v>0</v>
      </c>
      <c r="H179" t="n">
        <v>0</v>
      </c>
      <c r="I179" t="n">
        <v>0</v>
      </c>
      <c r="J179" t="n">
        <v>0</v>
      </c>
      <c r="K179" t="n">
        <v>0</v>
      </c>
      <c r="L179" t="n">
        <v>0</v>
      </c>
      <c r="M179">
        <f>F179+G179+H179+K179-I179-J179-L179</f>
        <v/>
      </c>
      <c r="N179" t="inlineStr">
        <is>
          <t>NO APLICA</t>
        </is>
      </c>
      <c r="O179" t="n">
        <v>5</v>
      </c>
      <c r="P179">
        <f>IF(M179&lt;0, "ERROR: SOBREGIRO", IF(M179=0, "SIN EXISTENCIAS", IF(M179&lt;=O179, "STOCK BAJO", "STOCK NORMAL")))</f>
        <v/>
      </c>
    </row>
    <row r="180">
      <c r="A180" t="n">
        <v>6256</v>
      </c>
      <c r="B180" t="inlineStr">
        <is>
          <t>WASA INOXIDABLE 3/8"</t>
        </is>
      </c>
      <c r="C180" t="inlineStr">
        <is>
          <t>Materiales</t>
        </is>
      </c>
      <c r="D180" t="inlineStr">
        <is>
          <t>Unidad</t>
        </is>
      </c>
      <c r="E180" t="inlineStr">
        <is>
          <t>CDS</t>
        </is>
      </c>
      <c r="F180" t="n">
        <v>0</v>
      </c>
      <c r="G180" t="n">
        <v>0</v>
      </c>
      <c r="H180" t="n">
        <v>0</v>
      </c>
      <c r="I180" t="n">
        <v>0</v>
      </c>
      <c r="J180" t="n">
        <v>0</v>
      </c>
      <c r="K180" t="n">
        <v>0</v>
      </c>
      <c r="L180" t="n">
        <v>0</v>
      </c>
      <c r="M180">
        <f>F180+G180+H180+K180-I180-J180-L180</f>
        <v/>
      </c>
      <c r="N180" t="inlineStr">
        <is>
          <t>NO APLICA</t>
        </is>
      </c>
      <c r="O180" t="n">
        <v>5</v>
      </c>
      <c r="P180">
        <f>IF(M180&lt;0, "ERROR: SOBREGIRO", IF(M180=0, "SIN EXISTENCIAS", IF(M180&lt;=O180, "STOCK BAJO", "STOCK NORMAL")))</f>
        <v/>
      </c>
    </row>
    <row r="181">
      <c r="A181" t="n">
        <v>6257</v>
      </c>
      <c r="B181" t="inlineStr">
        <is>
          <t>WASA INOXIDABLE 5/16"</t>
        </is>
      </c>
      <c r="C181" t="inlineStr">
        <is>
          <t>Materiales</t>
        </is>
      </c>
      <c r="D181" t="inlineStr">
        <is>
          <t>Unidad</t>
        </is>
      </c>
      <c r="E181" t="inlineStr">
        <is>
          <t>CDS</t>
        </is>
      </c>
      <c r="F181" t="n">
        <v>0</v>
      </c>
      <c r="G181" t="n">
        <v>0</v>
      </c>
      <c r="H181" t="n">
        <v>0</v>
      </c>
      <c r="I181" t="n">
        <v>0</v>
      </c>
      <c r="J181" t="n">
        <v>0</v>
      </c>
      <c r="K181" t="n">
        <v>0</v>
      </c>
      <c r="L181" t="n">
        <v>0</v>
      </c>
      <c r="M181">
        <f>F181+G181+H181+K181-I181-J181-L181</f>
        <v/>
      </c>
      <c r="N181" t="inlineStr">
        <is>
          <t>NO APLICA</t>
        </is>
      </c>
      <c r="O181" t="n">
        <v>5</v>
      </c>
      <c r="P181">
        <f>IF(M181&lt;0, "ERROR: SOBREGIRO", IF(M181=0, "SIN EXISTENCIAS", IF(M181&lt;=O181, "STOCK BAJO", "STOCK NORMAL")))</f>
        <v/>
      </c>
    </row>
    <row r="182">
      <c r="A182" t="n">
        <v>7052</v>
      </c>
      <c r="B182" t="inlineStr">
        <is>
          <t>TERMINAL BIMETALICA OJO 1/0 AWG HUECO 3/8"</t>
        </is>
      </c>
      <c r="C182" t="inlineStr">
        <is>
          <t>Elementos electricos</t>
        </is>
      </c>
      <c r="D182" t="inlineStr">
        <is>
          <t>Unidad</t>
        </is>
      </c>
      <c r="E182" t="inlineStr">
        <is>
          <t>CDS</t>
        </is>
      </c>
      <c r="F182" t="n">
        <v>0</v>
      </c>
      <c r="G182" t="n">
        <v>0</v>
      </c>
      <c r="H182" t="n">
        <v>0</v>
      </c>
      <c r="I182" t="n">
        <v>0</v>
      </c>
      <c r="J182" t="n">
        <v>0</v>
      </c>
      <c r="K182" t="n">
        <v>0</v>
      </c>
      <c r="L182" t="n">
        <v>0</v>
      </c>
      <c r="M182">
        <f>F182+G182+H182+K182-I182-J182-L182</f>
        <v/>
      </c>
      <c r="N182" t="inlineStr">
        <is>
          <t>NO APLICA</t>
        </is>
      </c>
      <c r="O182" t="n">
        <v>5</v>
      </c>
      <c r="P182">
        <f>IF(M182&lt;0, "ERROR: SOBREGIRO", IF(M182=0, "SIN EXISTENCIAS", IF(M182&lt;=O182, "STOCK BAJO", "STOCK NORMAL")))</f>
        <v/>
      </c>
    </row>
    <row r="183">
      <c r="A183" t="n">
        <v>7074</v>
      </c>
      <c r="B183" t="inlineStr">
        <is>
          <t>BORNE DE PASO 1X2 20-4 AWG 76A 800V 12MM WAGO</t>
        </is>
      </c>
      <c r="C183" t="inlineStr">
        <is>
          <t>Materiales</t>
        </is>
      </c>
      <c r="D183" t="inlineStr">
        <is>
          <t>Unidad</t>
        </is>
      </c>
      <c r="E183" t="inlineStr">
        <is>
          <t>CDS</t>
        </is>
      </c>
      <c r="F183" t="n">
        <v>0</v>
      </c>
      <c r="G183" t="n">
        <v>0</v>
      </c>
      <c r="H183" t="n">
        <v>0</v>
      </c>
      <c r="I183" t="n">
        <v>0</v>
      </c>
      <c r="J183" t="n">
        <v>0</v>
      </c>
      <c r="K183" t="n">
        <v>0</v>
      </c>
      <c r="L183" t="n">
        <v>0</v>
      </c>
      <c r="M183">
        <f>F183+G183+H183+K183-I183-J183-L183</f>
        <v/>
      </c>
      <c r="N183" t="inlineStr">
        <is>
          <t>NO APLICA</t>
        </is>
      </c>
      <c r="O183" t="n">
        <v>5</v>
      </c>
      <c r="P183">
        <f>IF(M183&lt;0, "ERROR: SOBREGIRO", IF(M183=0, "SIN EXISTENCIAS", IF(M183&lt;=O183, "STOCK BAJO", "STOCK NORMAL")))</f>
        <v/>
      </c>
    </row>
    <row r="184">
      <c r="A184" t="n">
        <v>7075</v>
      </c>
      <c r="B184" t="inlineStr">
        <is>
          <t>BORNE DE PASO 1X2 20-8 AWG 41A 800V 7.5MM WAGO</t>
        </is>
      </c>
      <c r="C184" t="inlineStr">
        <is>
          <t>Materiales</t>
        </is>
      </c>
      <c r="D184" t="inlineStr">
        <is>
          <t>Unidad</t>
        </is>
      </c>
      <c r="E184" t="inlineStr">
        <is>
          <t>CDS</t>
        </is>
      </c>
      <c r="F184" t="n">
        <v>0</v>
      </c>
      <c r="G184" t="n">
        <v>0</v>
      </c>
      <c r="H184" t="n">
        <v>0</v>
      </c>
      <c r="I184" t="n">
        <v>0</v>
      </c>
      <c r="J184" t="n">
        <v>0</v>
      </c>
      <c r="K184" t="n">
        <v>0</v>
      </c>
      <c r="L184" t="n">
        <v>0</v>
      </c>
      <c r="M184">
        <f>F184+G184+H184+K184-I184-J184-L184</f>
        <v/>
      </c>
      <c r="N184" t="inlineStr">
        <is>
          <t>NO APLICA</t>
        </is>
      </c>
      <c r="O184" t="n">
        <v>5</v>
      </c>
      <c r="P184">
        <f>IF(M184&lt;0, "ERROR: SOBREGIRO", IF(M184=0, "SIN EXISTENCIAS", IF(M184&lt;=O184, "STOCK BAJO", "STOCK NORMAL")))</f>
        <v/>
      </c>
    </row>
    <row r="185">
      <c r="A185" t="n">
        <v>7117</v>
      </c>
      <c r="B185" t="inlineStr">
        <is>
          <t>INTERRUPTOR DIFERENCIAL 1P + N 25A (30MA) LS</t>
        </is>
      </c>
      <c r="C185" t="inlineStr">
        <is>
          <t>Elementos electricos</t>
        </is>
      </c>
      <c r="D185" t="inlineStr">
        <is>
          <t>Unidad</t>
        </is>
      </c>
      <c r="E185" t="inlineStr">
        <is>
          <t>CDS</t>
        </is>
      </c>
      <c r="F185" t="n">
        <v>10</v>
      </c>
      <c r="G185" t="n">
        <v>0</v>
      </c>
      <c r="H185" t="n">
        <v>0</v>
      </c>
      <c r="I185" t="n">
        <v>0</v>
      </c>
      <c r="J185" t="n">
        <v>0</v>
      </c>
      <c r="K185" t="n">
        <v>0</v>
      </c>
      <c r="L185" t="n">
        <v>0</v>
      </c>
      <c r="M185">
        <f>F185+G185+H185+K185-I185-J185-L185</f>
        <v/>
      </c>
      <c r="N185" t="inlineStr">
        <is>
          <t>NO APLICA</t>
        </is>
      </c>
      <c r="O185" t="n">
        <v>5</v>
      </c>
      <c r="P185">
        <f>IF(M185&lt;0, "ERROR: SOBREGIRO", IF(M185=0, "SIN EXISTENCIAS", IF(M185&lt;=O185, "STOCK BAJO", "STOCK NORMAL")))</f>
        <v/>
      </c>
    </row>
    <row r="186">
      <c r="A186" t="n">
        <v>7118</v>
      </c>
      <c r="B186" t="inlineStr">
        <is>
          <t>INTERRUPTOR DIFERENCIAL 1P + N 32A (30MA) LS</t>
        </is>
      </c>
      <c r="C186" t="inlineStr">
        <is>
          <t>Elementos electricos</t>
        </is>
      </c>
      <c r="D186" t="inlineStr">
        <is>
          <t>Unidad</t>
        </is>
      </c>
      <c r="E186" t="inlineStr">
        <is>
          <t>CDS</t>
        </is>
      </c>
      <c r="F186" t="n">
        <v>4</v>
      </c>
      <c r="G186" t="n">
        <v>0</v>
      </c>
      <c r="H186" t="n">
        <v>0</v>
      </c>
      <c r="I186" t="n">
        <v>0</v>
      </c>
      <c r="J186" t="n">
        <v>0</v>
      </c>
      <c r="K186" t="n">
        <v>0</v>
      </c>
      <c r="L186" t="n">
        <v>0</v>
      </c>
      <c r="M186">
        <f>F186+G186+H186+K186-I186-J186-L186</f>
        <v/>
      </c>
      <c r="N186" t="inlineStr">
        <is>
          <t>NO APLICA</t>
        </is>
      </c>
      <c r="O186" t="n">
        <v>5</v>
      </c>
      <c r="P186">
        <f>IF(M186&lt;0, "ERROR: SOBREGIRO", IF(M186=0, "SIN EXISTENCIAS", IF(M186&lt;=O186, "STOCK BAJO", "STOCK NORMAL")))</f>
        <v/>
      </c>
    </row>
    <row r="187">
      <c r="A187" t="n">
        <v>7120</v>
      </c>
      <c r="B187" t="inlineStr">
        <is>
          <t>INTERRUPTOR DIFERENCIAL 1P + N 40A (30MA) LS</t>
        </is>
      </c>
      <c r="C187" t="inlineStr">
        <is>
          <t>Elementos electricos</t>
        </is>
      </c>
      <c r="D187" t="inlineStr">
        <is>
          <t>Unidad</t>
        </is>
      </c>
      <c r="E187" t="inlineStr">
        <is>
          <t>CDS</t>
        </is>
      </c>
      <c r="F187" t="n">
        <v>7</v>
      </c>
      <c r="G187" t="n">
        <v>0</v>
      </c>
      <c r="H187" t="n">
        <v>0</v>
      </c>
      <c r="I187" t="n">
        <v>0</v>
      </c>
      <c r="J187" t="n">
        <v>0</v>
      </c>
      <c r="K187" t="n">
        <v>0</v>
      </c>
      <c r="L187" t="n">
        <v>0</v>
      </c>
      <c r="M187">
        <f>F187+G187+H187+K187-I187-J187-L187</f>
        <v/>
      </c>
      <c r="N187" t="inlineStr">
        <is>
          <t>NO APLICA</t>
        </is>
      </c>
      <c r="O187" t="n">
        <v>5</v>
      </c>
      <c r="P187">
        <f>IF(M187&lt;0, "ERROR: SOBREGIRO", IF(M187=0, "SIN EXISTENCIAS", IF(M187&lt;=O187, "STOCK BAJO", "STOCK NORMAL")))</f>
        <v/>
      </c>
    </row>
    <row r="188">
      <c r="A188" t="n">
        <v>7121</v>
      </c>
      <c r="B188" t="inlineStr">
        <is>
          <t>INTERRUPTOR DIFERENCIAL 1P + N 63A (30MA) LS</t>
        </is>
      </c>
      <c r="C188" t="inlineStr">
        <is>
          <t>Elementos electricos</t>
        </is>
      </c>
      <c r="D188" t="inlineStr">
        <is>
          <t>Unidad</t>
        </is>
      </c>
      <c r="E188" t="inlineStr">
        <is>
          <t>CDS</t>
        </is>
      </c>
      <c r="F188" t="n">
        <v>7</v>
      </c>
      <c r="G188" t="n">
        <v>0</v>
      </c>
      <c r="H188" t="n">
        <v>0</v>
      </c>
      <c r="I188" t="n">
        <v>0</v>
      </c>
      <c r="J188" t="n">
        <v>0</v>
      </c>
      <c r="K188" t="n">
        <v>0</v>
      </c>
      <c r="L188" t="n">
        <v>0</v>
      </c>
      <c r="M188">
        <f>F188+G188+H188+K188-I188-J188-L188</f>
        <v/>
      </c>
      <c r="N188" t="inlineStr">
        <is>
          <t>NO APLICA</t>
        </is>
      </c>
      <c r="O188" t="n">
        <v>5</v>
      </c>
      <c r="P188">
        <f>IF(M188&lt;0, "ERROR: SOBREGIRO", IF(M188=0, "SIN EXISTENCIAS", IF(M188&lt;=O188, "STOCK BAJO", "STOCK NORMAL")))</f>
        <v/>
      </c>
    </row>
    <row r="189">
      <c r="A189" t="n">
        <v>7131</v>
      </c>
      <c r="B189" t="inlineStr">
        <is>
          <t>INTERRUPTOR TERMOMAGNETICO ENCHUFABLE BIPOLAR 20A (10KA) LS</t>
        </is>
      </c>
      <c r="C189" t="inlineStr">
        <is>
          <t>Elementos electricos</t>
        </is>
      </c>
      <c r="D189" t="inlineStr">
        <is>
          <t>Unidad</t>
        </is>
      </c>
      <c r="E189" t="inlineStr">
        <is>
          <t>CDS</t>
        </is>
      </c>
      <c r="F189" t="n">
        <v>7</v>
      </c>
      <c r="G189" t="n">
        <v>0</v>
      </c>
      <c r="H189" t="n">
        <v>0</v>
      </c>
      <c r="I189" t="n">
        <v>0</v>
      </c>
      <c r="J189" t="n">
        <v>0</v>
      </c>
      <c r="K189" t="n">
        <v>0</v>
      </c>
      <c r="L189" t="n">
        <v>0</v>
      </c>
      <c r="M189">
        <f>F189+G189+H189+K189-I189-J189-L189</f>
        <v/>
      </c>
      <c r="N189" t="inlineStr">
        <is>
          <t>NO APLICA</t>
        </is>
      </c>
      <c r="O189" t="n">
        <v>5</v>
      </c>
      <c r="P189">
        <f>IF(M189&lt;0, "ERROR: SOBREGIRO", IF(M189=0, "SIN EXISTENCIAS", IF(M189&lt;=O189, "STOCK BAJO", "STOCK NORMAL")))</f>
        <v/>
      </c>
    </row>
    <row r="190">
      <c r="A190" t="n">
        <v>7132</v>
      </c>
      <c r="B190" t="inlineStr">
        <is>
          <t>INTERRUPTOR TERMOMAGNETICO ENCHUFABLE BIPOLAR 30A (10KA) LS</t>
        </is>
      </c>
      <c r="C190" t="inlineStr">
        <is>
          <t>Elementos electricos</t>
        </is>
      </c>
      <c r="D190" t="inlineStr">
        <is>
          <t>Unidad</t>
        </is>
      </c>
      <c r="E190" t="inlineStr">
        <is>
          <t>CDS</t>
        </is>
      </c>
      <c r="F190" t="n">
        <v>8</v>
      </c>
      <c r="G190" t="n">
        <v>0</v>
      </c>
      <c r="H190" t="n">
        <v>0</v>
      </c>
      <c r="I190" t="n">
        <v>0</v>
      </c>
      <c r="J190" t="n">
        <v>0</v>
      </c>
      <c r="K190" t="n">
        <v>0</v>
      </c>
      <c r="L190" t="n">
        <v>0</v>
      </c>
      <c r="M190">
        <f>F190+G190+H190+K190-I190-J190-L190</f>
        <v/>
      </c>
      <c r="N190" t="inlineStr">
        <is>
          <t>NO APLICA</t>
        </is>
      </c>
      <c r="O190" t="n">
        <v>5</v>
      </c>
      <c r="P190">
        <f>IF(M190&lt;0, "ERROR: SOBREGIRO", IF(M190=0, "SIN EXISTENCIAS", IF(M190&lt;=O190, "STOCK BAJO", "STOCK NORMAL")))</f>
        <v/>
      </c>
    </row>
    <row r="191">
      <c r="A191" t="n">
        <v>7133</v>
      </c>
      <c r="B191" t="inlineStr">
        <is>
          <t>INTERRUPTOR TERMOMAGNETICO ENCHUFABLE BIPOLAR 40A (10KA) LS</t>
        </is>
      </c>
      <c r="C191" t="inlineStr">
        <is>
          <t>Elementos electricos</t>
        </is>
      </c>
      <c r="D191" t="inlineStr">
        <is>
          <t>Unidad</t>
        </is>
      </c>
      <c r="E191" t="inlineStr">
        <is>
          <t>CDS</t>
        </is>
      </c>
      <c r="F191" t="n">
        <v>18</v>
      </c>
      <c r="G191" t="n">
        <v>0</v>
      </c>
      <c r="H191" t="n">
        <v>0</v>
      </c>
      <c r="I191" t="n">
        <v>0</v>
      </c>
      <c r="J191" t="n">
        <v>0</v>
      </c>
      <c r="K191" t="n">
        <v>0</v>
      </c>
      <c r="L191" t="n">
        <v>0</v>
      </c>
      <c r="M191">
        <f>F191+G191+H191+K191-I191-J191-L191</f>
        <v/>
      </c>
      <c r="N191" t="inlineStr">
        <is>
          <t>NO APLICA</t>
        </is>
      </c>
      <c r="O191" t="n">
        <v>5</v>
      </c>
      <c r="P191">
        <f>IF(M191&lt;0, "ERROR: SOBREGIRO", IF(M191=0, "SIN EXISTENCIAS", IF(M191&lt;=O191, "STOCK BAJO", "STOCK NORMAL")))</f>
        <v/>
      </c>
    </row>
    <row r="192">
      <c r="A192" t="n">
        <v>7135</v>
      </c>
      <c r="B192" t="inlineStr">
        <is>
          <t>INTERRUPTOR TERMOMAGNETICO ENCHUFABLE BIPOLAR 50A (10KA) LS</t>
        </is>
      </c>
      <c r="C192" t="inlineStr">
        <is>
          <t>Elementos electricos</t>
        </is>
      </c>
      <c r="D192" t="inlineStr">
        <is>
          <t>Unidad</t>
        </is>
      </c>
      <c r="E192" t="inlineStr">
        <is>
          <t>CDS</t>
        </is>
      </c>
      <c r="F192" t="n">
        <v>4</v>
      </c>
      <c r="G192" t="n">
        <v>0</v>
      </c>
      <c r="H192" t="n">
        <v>0</v>
      </c>
      <c r="I192" t="n">
        <v>0</v>
      </c>
      <c r="J192" t="n">
        <v>0</v>
      </c>
      <c r="K192" t="n">
        <v>0</v>
      </c>
      <c r="L192" t="n">
        <v>0</v>
      </c>
      <c r="M192">
        <f>F192+G192+H192+K192-I192-J192-L192</f>
        <v/>
      </c>
      <c r="N192" t="inlineStr">
        <is>
          <t>NO APLICA</t>
        </is>
      </c>
      <c r="O192" t="n">
        <v>5</v>
      </c>
      <c r="P192">
        <f>IF(M192&lt;0, "ERROR: SOBREGIRO", IF(M192=0, "SIN EXISTENCIAS", IF(M192&lt;=O192, "STOCK BAJO", "STOCK NORMAL")))</f>
        <v/>
      </c>
    </row>
    <row r="193">
      <c r="A193" t="n">
        <v>7139</v>
      </c>
      <c r="B193" t="inlineStr">
        <is>
          <t>INTERRUPTOR TERMOMAGNETICO ENCHUFABLE MONOPOLAR 15A (10KA) LS</t>
        </is>
      </c>
      <c r="C193" t="inlineStr">
        <is>
          <t>Elementos electricos</t>
        </is>
      </c>
      <c r="D193" t="inlineStr">
        <is>
          <t>Unidad</t>
        </is>
      </c>
      <c r="E193" t="inlineStr">
        <is>
          <t>CDS</t>
        </is>
      </c>
      <c r="F193" t="n">
        <v>6</v>
      </c>
      <c r="G193" t="n">
        <v>0</v>
      </c>
      <c r="H193" t="n">
        <v>0</v>
      </c>
      <c r="I193" t="n">
        <v>0</v>
      </c>
      <c r="J193" t="n">
        <v>0</v>
      </c>
      <c r="K193" t="n">
        <v>0</v>
      </c>
      <c r="L193" t="n">
        <v>0</v>
      </c>
      <c r="M193">
        <f>F193+G193+H193+K193-I193-J193-L193</f>
        <v/>
      </c>
      <c r="N193" t="inlineStr">
        <is>
          <t>NO APLICA</t>
        </is>
      </c>
      <c r="O193" t="n">
        <v>5</v>
      </c>
      <c r="P193">
        <f>IF(M193&lt;0, "ERROR: SOBREGIRO", IF(M193=0, "SIN EXISTENCIAS", IF(M193&lt;=O193, "STOCK BAJO", "STOCK NORMAL")))</f>
        <v/>
      </c>
    </row>
    <row r="194">
      <c r="A194" t="n">
        <v>7147</v>
      </c>
      <c r="B194" t="inlineStr">
        <is>
          <t>INTERRUPTOR TERMOMAGNETICO ENCHUFABLE TRIPOLAR 20A (10KA) LS</t>
        </is>
      </c>
      <c r="C194" t="inlineStr">
        <is>
          <t>Elementos electricos</t>
        </is>
      </c>
      <c r="D194" t="inlineStr">
        <is>
          <t>Unidad</t>
        </is>
      </c>
      <c r="E194" t="inlineStr">
        <is>
          <t>CDS</t>
        </is>
      </c>
      <c r="F194" t="n">
        <v>1</v>
      </c>
      <c r="G194" t="n">
        <v>0</v>
      </c>
      <c r="H194" t="n">
        <v>0</v>
      </c>
      <c r="I194" t="n">
        <v>0</v>
      </c>
      <c r="J194" t="n">
        <v>0</v>
      </c>
      <c r="K194" t="n">
        <v>0</v>
      </c>
      <c r="L194" t="n">
        <v>0</v>
      </c>
      <c r="M194">
        <f>F194+G194+H194+K194-I194-J194-L194</f>
        <v/>
      </c>
      <c r="N194" t="inlineStr">
        <is>
          <t>NO APLICA</t>
        </is>
      </c>
      <c r="O194" t="n">
        <v>5</v>
      </c>
      <c r="P194">
        <f>IF(M194&lt;0, "ERROR: SOBREGIRO", IF(M194=0, "SIN EXISTENCIAS", IF(M194&lt;=O194, "STOCK BAJO", "STOCK NORMAL")))</f>
        <v/>
      </c>
    </row>
    <row r="195">
      <c r="A195" t="n">
        <v>7154</v>
      </c>
      <c r="B195" t="inlineStr">
        <is>
          <t>INTERRUPTOR TERMOMAGNETICO INDUSTRIAL BIPOLAR 100A (35KA) LS</t>
        </is>
      </c>
      <c r="C195" t="inlineStr">
        <is>
          <t>Elementos electricos</t>
        </is>
      </c>
      <c r="D195" t="inlineStr">
        <is>
          <t>Unidad</t>
        </is>
      </c>
      <c r="E195" t="inlineStr">
        <is>
          <t>CDS</t>
        </is>
      </c>
      <c r="F195" t="n">
        <v>1</v>
      </c>
      <c r="G195" t="n">
        <v>0</v>
      </c>
      <c r="H195" t="n">
        <v>0</v>
      </c>
      <c r="I195" t="n">
        <v>0</v>
      </c>
      <c r="J195" t="n">
        <v>0</v>
      </c>
      <c r="K195" t="n">
        <v>0</v>
      </c>
      <c r="L195" t="n">
        <v>0</v>
      </c>
      <c r="M195">
        <f>F195+G195+H195+K195-I195-J195-L195</f>
        <v/>
      </c>
      <c r="N195" t="inlineStr">
        <is>
          <t>NO APLICA</t>
        </is>
      </c>
      <c r="O195" t="n">
        <v>5</v>
      </c>
      <c r="P195">
        <f>IF(M195&lt;0, "ERROR: SOBREGIRO", IF(M195=0, "SIN EXISTENCIAS", IF(M195&lt;=O195, "STOCK BAJO", "STOCK NORMAL")))</f>
        <v/>
      </c>
    </row>
    <row r="196">
      <c r="A196" t="n">
        <v>7161</v>
      </c>
      <c r="B196" t="inlineStr">
        <is>
          <t>INTERRUPTOR TERMOMAGNETICO INDUSTRIAL BIPOLAR 30A (30KA) LS</t>
        </is>
      </c>
      <c r="C196" t="inlineStr">
        <is>
          <t>Elementos electricos</t>
        </is>
      </c>
      <c r="D196" t="inlineStr">
        <is>
          <t>Unidad</t>
        </is>
      </c>
      <c r="E196" t="inlineStr">
        <is>
          <t>CDS</t>
        </is>
      </c>
      <c r="F196" t="n">
        <v>1</v>
      </c>
      <c r="G196" t="n">
        <v>0</v>
      </c>
      <c r="H196" t="n">
        <v>0</v>
      </c>
      <c r="I196" t="n">
        <v>0</v>
      </c>
      <c r="J196" t="n">
        <v>0</v>
      </c>
      <c r="K196" t="n">
        <v>0</v>
      </c>
      <c r="L196" t="n">
        <v>0</v>
      </c>
      <c r="M196">
        <f>F196+G196+H196+K196-I196-J196-L196</f>
        <v/>
      </c>
      <c r="N196" t="inlineStr">
        <is>
          <t>NO APLICA</t>
        </is>
      </c>
      <c r="O196" t="n">
        <v>5</v>
      </c>
      <c r="P196">
        <f>IF(M196&lt;0, "ERROR: SOBREGIRO", IF(M196=0, "SIN EXISTENCIAS", IF(M196&lt;=O196, "STOCK BAJO", "STOCK NORMAL")))</f>
        <v/>
      </c>
    </row>
    <row r="197">
      <c r="A197" t="n">
        <v>7163</v>
      </c>
      <c r="B197" t="inlineStr">
        <is>
          <t>INTERRUPTOR TERMOMAGNETICO INDUSTRIAL BIPOLAR 40A (30KA) LS</t>
        </is>
      </c>
      <c r="C197" t="inlineStr">
        <is>
          <t>Elementos electricos</t>
        </is>
      </c>
      <c r="D197" t="inlineStr">
        <is>
          <t>Unidad</t>
        </is>
      </c>
      <c r="E197" t="inlineStr">
        <is>
          <t>CDS</t>
        </is>
      </c>
      <c r="F197" t="n">
        <v>4</v>
      </c>
      <c r="G197" t="n">
        <v>0</v>
      </c>
      <c r="H197" t="n">
        <v>0</v>
      </c>
      <c r="I197" t="n">
        <v>0</v>
      </c>
      <c r="J197" t="n">
        <v>0</v>
      </c>
      <c r="K197" t="n">
        <v>0</v>
      </c>
      <c r="L197" t="n">
        <v>0</v>
      </c>
      <c r="M197">
        <f>F197+G197+H197+K197-I197-J197-L197</f>
        <v/>
      </c>
      <c r="N197" t="inlineStr">
        <is>
          <t>NO APLICA</t>
        </is>
      </c>
      <c r="O197" t="n">
        <v>5</v>
      </c>
      <c r="P197">
        <f>IF(M197&lt;0, "ERROR: SOBREGIRO", IF(M197=0, "SIN EXISTENCIAS", IF(M197&lt;=O197, "STOCK BAJO", "STOCK NORMAL")))</f>
        <v/>
      </c>
    </row>
    <row r="198">
      <c r="A198" t="n">
        <v>7192</v>
      </c>
      <c r="B198" t="inlineStr">
        <is>
          <t>INTERRUPTOR TERMOMAGNETICO INDUSTRIAL TRIPOLAR 175A (65KA) LS</t>
        </is>
      </c>
      <c r="C198" t="inlineStr">
        <is>
          <t>Elementos electricos</t>
        </is>
      </c>
      <c r="D198" t="inlineStr">
        <is>
          <t>Unidad</t>
        </is>
      </c>
      <c r="E198" t="inlineStr">
        <is>
          <t>CDS</t>
        </is>
      </c>
      <c r="F198" t="n">
        <v>2</v>
      </c>
      <c r="G198" t="n">
        <v>0</v>
      </c>
      <c r="H198" t="n">
        <v>0</v>
      </c>
      <c r="I198" t="n">
        <v>0</v>
      </c>
      <c r="J198" t="n">
        <v>0</v>
      </c>
      <c r="K198" t="n">
        <v>0</v>
      </c>
      <c r="L198" t="n">
        <v>0</v>
      </c>
      <c r="M198">
        <f>F198+G198+H198+K198-I198-J198-L198</f>
        <v/>
      </c>
      <c r="N198" t="inlineStr">
        <is>
          <t>NO APLICA</t>
        </is>
      </c>
      <c r="O198" t="n">
        <v>5</v>
      </c>
      <c r="P198">
        <f>IF(M198&lt;0, "ERROR: SOBREGIRO", IF(M198=0, "SIN EXISTENCIAS", IF(M198&lt;=O198, "STOCK BAJO", "STOCK NORMAL")))</f>
        <v/>
      </c>
    </row>
    <row r="199">
      <c r="A199" t="n">
        <v>7194</v>
      </c>
      <c r="B199" t="inlineStr">
        <is>
          <t>INTERRUPTOR TERMOMAGNETICO INDUSTRIAL TRIPOLAR 200A (65KA) LS</t>
        </is>
      </c>
      <c r="C199" t="inlineStr">
        <is>
          <t>Elementos electricos</t>
        </is>
      </c>
      <c r="D199" t="inlineStr">
        <is>
          <t>Unidad</t>
        </is>
      </c>
      <c r="E199" t="inlineStr">
        <is>
          <t>CDS</t>
        </is>
      </c>
      <c r="F199" t="n">
        <v>2</v>
      </c>
      <c r="G199" t="n">
        <v>0</v>
      </c>
      <c r="H199" t="n">
        <v>0</v>
      </c>
      <c r="I199" t="n">
        <v>0</v>
      </c>
      <c r="J199" t="n">
        <v>0</v>
      </c>
      <c r="K199" t="n">
        <v>0</v>
      </c>
      <c r="L199" t="n">
        <v>0</v>
      </c>
      <c r="M199">
        <f>F199+G199+H199+K199-I199-J199-L199</f>
        <v/>
      </c>
      <c r="N199" t="inlineStr">
        <is>
          <t>NO APLICA</t>
        </is>
      </c>
      <c r="O199" t="n">
        <v>5</v>
      </c>
      <c r="P199">
        <f>IF(M199&lt;0, "ERROR: SOBREGIRO", IF(M199=0, "SIN EXISTENCIAS", IF(M199&lt;=O199, "STOCK BAJO", "STOCK NORMAL")))</f>
        <v/>
      </c>
    </row>
    <row r="200">
      <c r="A200" t="n">
        <v>7210</v>
      </c>
      <c r="B200" t="inlineStr">
        <is>
          <t>INTERRUPTOR TERMOMAGNETICO INDUSTRIAL TRIPOLAR 40A (30KA) LS</t>
        </is>
      </c>
      <c r="C200" t="inlineStr">
        <is>
          <t>Elementos electricos</t>
        </is>
      </c>
      <c r="D200" t="inlineStr">
        <is>
          <t>Unidad</t>
        </is>
      </c>
      <c r="E200" t="inlineStr">
        <is>
          <t>CDS</t>
        </is>
      </c>
      <c r="F200" t="n">
        <v>1</v>
      </c>
      <c r="G200" t="n">
        <v>0</v>
      </c>
      <c r="H200" t="n">
        <v>0</v>
      </c>
      <c r="I200" t="n">
        <v>0</v>
      </c>
      <c r="J200" t="n">
        <v>0</v>
      </c>
      <c r="K200" t="n">
        <v>0</v>
      </c>
      <c r="L200" t="n">
        <v>0</v>
      </c>
      <c r="M200">
        <f>F200+G200+H200+K200-I200-J200-L200</f>
        <v/>
      </c>
      <c r="N200" t="inlineStr">
        <is>
          <t>NO APLICA</t>
        </is>
      </c>
      <c r="O200" t="n">
        <v>5</v>
      </c>
      <c r="P200">
        <f>IF(M200&lt;0, "ERROR: SOBREGIRO", IF(M200=0, "SIN EXISTENCIAS", IF(M200&lt;=O200, "STOCK BAJO", "STOCK NORMAL")))</f>
        <v/>
      </c>
    </row>
    <row r="201">
      <c r="A201" t="n">
        <v>7233</v>
      </c>
      <c r="B201" t="inlineStr">
        <is>
          <t>INTERRUPTOR TERMOMAGNETICO PARA RIEL DIN BIPOLAR 20A (10KA) LS</t>
        </is>
      </c>
      <c r="C201" t="inlineStr">
        <is>
          <t>Elementos electricos</t>
        </is>
      </c>
      <c r="D201" t="inlineStr">
        <is>
          <t>Unidad</t>
        </is>
      </c>
      <c r="E201" t="inlineStr">
        <is>
          <t>CDS</t>
        </is>
      </c>
      <c r="F201" t="n">
        <v>34</v>
      </c>
      <c r="G201" t="n">
        <v>0</v>
      </c>
      <c r="H201" t="n">
        <v>0</v>
      </c>
      <c r="I201" t="n">
        <v>0</v>
      </c>
      <c r="J201" t="n">
        <v>0</v>
      </c>
      <c r="K201" t="n">
        <v>0</v>
      </c>
      <c r="L201" t="n">
        <v>0</v>
      </c>
      <c r="M201">
        <f>F201+G201+H201+K201-I201-J201-L201</f>
        <v/>
      </c>
      <c r="N201" t="inlineStr">
        <is>
          <t>NO APLICA</t>
        </is>
      </c>
      <c r="O201" t="n">
        <v>5</v>
      </c>
      <c r="P201">
        <f>IF(M201&lt;0, "ERROR: SOBREGIRO", IF(M201=0, "SIN EXISTENCIAS", IF(M201&lt;=O201, "STOCK BAJO", "STOCK NORMAL")))</f>
        <v/>
      </c>
    </row>
    <row r="202">
      <c r="A202" t="n">
        <v>7234</v>
      </c>
      <c r="B202" t="inlineStr">
        <is>
          <t>INTERRUPTOR TERMOMAGNETICO PARA RIEL DIN BIPOLAR 25A (10KA) LS</t>
        </is>
      </c>
      <c r="C202" t="inlineStr">
        <is>
          <t>Elementos electricos</t>
        </is>
      </c>
      <c r="D202" t="inlineStr">
        <is>
          <t>Unidad</t>
        </is>
      </c>
      <c r="E202" t="inlineStr">
        <is>
          <t>CDS</t>
        </is>
      </c>
      <c r="F202" t="n">
        <v>19</v>
      </c>
      <c r="G202" t="n">
        <v>0</v>
      </c>
      <c r="H202" t="n">
        <v>0</v>
      </c>
      <c r="I202" t="n">
        <v>0</v>
      </c>
      <c r="J202" t="n">
        <v>0</v>
      </c>
      <c r="K202" t="n">
        <v>0</v>
      </c>
      <c r="L202" t="n">
        <v>0</v>
      </c>
      <c r="M202">
        <f>F202+G202+H202+K202-I202-J202-L202</f>
        <v/>
      </c>
      <c r="N202" t="inlineStr">
        <is>
          <t>NO APLICA</t>
        </is>
      </c>
      <c r="O202" t="n">
        <v>5</v>
      </c>
      <c r="P202">
        <f>IF(M202&lt;0, "ERROR: SOBREGIRO", IF(M202=0, "SIN EXISTENCIAS", IF(M202&lt;=O202, "STOCK BAJO", "STOCK NORMAL")))</f>
        <v/>
      </c>
    </row>
    <row r="203">
      <c r="A203" t="n">
        <v>7236</v>
      </c>
      <c r="B203" t="inlineStr">
        <is>
          <t>INTERRUPTOR TERMOMAGNETICO PARA RIEL DIN BIPOLAR 32A (10KA) LS</t>
        </is>
      </c>
      <c r="C203" t="inlineStr">
        <is>
          <t>Elementos electricos</t>
        </is>
      </c>
      <c r="D203" t="inlineStr">
        <is>
          <t>Unidad</t>
        </is>
      </c>
      <c r="E203" t="inlineStr">
        <is>
          <t>CDS</t>
        </is>
      </c>
      <c r="F203" t="n">
        <v>2</v>
      </c>
      <c r="G203" t="n">
        <v>0</v>
      </c>
      <c r="H203" t="n">
        <v>0</v>
      </c>
      <c r="I203" t="n">
        <v>0</v>
      </c>
      <c r="J203" t="n">
        <v>0</v>
      </c>
      <c r="K203" t="n">
        <v>0</v>
      </c>
      <c r="L203" t="n">
        <v>0</v>
      </c>
      <c r="M203">
        <f>F203+G203+H203+K203-I203-J203-L203</f>
        <v/>
      </c>
      <c r="N203" t="inlineStr">
        <is>
          <t>NO APLICA</t>
        </is>
      </c>
      <c r="O203" t="n">
        <v>5</v>
      </c>
      <c r="P203">
        <f>IF(M203&lt;0, "ERROR: SOBREGIRO", IF(M203=0, "SIN EXISTENCIAS", IF(M203&lt;=O203, "STOCK BAJO", "STOCK NORMAL")))</f>
        <v/>
      </c>
    </row>
    <row r="204">
      <c r="A204" t="n">
        <v>7238</v>
      </c>
      <c r="B204" t="inlineStr">
        <is>
          <t>INTERRUPTOR TERMOMAGNETICO PARA RIEL DIN BIPOLAR 40A (10KA) LS</t>
        </is>
      </c>
      <c r="C204" t="inlineStr">
        <is>
          <t>Elementos electricos</t>
        </is>
      </c>
      <c r="D204" t="inlineStr">
        <is>
          <t>Unidad</t>
        </is>
      </c>
      <c r="E204" t="inlineStr">
        <is>
          <t>CDS</t>
        </is>
      </c>
      <c r="F204" t="n">
        <v>5</v>
      </c>
      <c r="G204" t="n">
        <v>0</v>
      </c>
      <c r="H204" t="n">
        <v>0</v>
      </c>
      <c r="I204" t="n">
        <v>0</v>
      </c>
      <c r="J204" t="n">
        <v>0</v>
      </c>
      <c r="K204" t="n">
        <v>0</v>
      </c>
      <c r="L204" t="n">
        <v>0</v>
      </c>
      <c r="M204">
        <f>F204+G204+H204+K204-I204-J204-L204</f>
        <v/>
      </c>
      <c r="N204" t="inlineStr">
        <is>
          <t>NO APLICA</t>
        </is>
      </c>
      <c r="O204" t="n">
        <v>5</v>
      </c>
      <c r="P204">
        <f>IF(M204&lt;0, "ERROR: SOBREGIRO", IF(M204=0, "SIN EXISTENCIAS", IF(M204&lt;=O204, "STOCK BAJO", "STOCK NORMAL")))</f>
        <v/>
      </c>
    </row>
    <row r="205">
      <c r="A205" t="n">
        <v>7241</v>
      </c>
      <c r="B205" t="inlineStr">
        <is>
          <t>INTERRUPTOR TERMOMAGNETICO PARA RIEL DIN BIPOLAR 50A (10KA) LS</t>
        </is>
      </c>
      <c r="C205" t="inlineStr">
        <is>
          <t>Elementos electricos</t>
        </is>
      </c>
      <c r="D205" t="inlineStr">
        <is>
          <t>Unidad</t>
        </is>
      </c>
      <c r="E205" t="inlineStr">
        <is>
          <t>CDS</t>
        </is>
      </c>
      <c r="F205" t="n">
        <v>2</v>
      </c>
      <c r="G205" t="n">
        <v>0</v>
      </c>
      <c r="H205" t="n">
        <v>0</v>
      </c>
      <c r="I205" t="n">
        <v>0</v>
      </c>
      <c r="J205" t="n">
        <v>0</v>
      </c>
      <c r="K205" t="n">
        <v>0</v>
      </c>
      <c r="L205" t="n">
        <v>0</v>
      </c>
      <c r="M205">
        <f>F205+G205+H205+K205-I205-J205-L205</f>
        <v/>
      </c>
      <c r="N205" t="inlineStr">
        <is>
          <t>NO APLICA</t>
        </is>
      </c>
      <c r="O205" t="n">
        <v>5</v>
      </c>
      <c r="P205">
        <f>IF(M205&lt;0, "ERROR: SOBREGIRO", IF(M205=0, "SIN EXISTENCIAS", IF(M205&lt;=O205, "STOCK BAJO", "STOCK NORMAL")))</f>
        <v/>
      </c>
    </row>
    <row r="206">
      <c r="A206" t="n">
        <v>7242</v>
      </c>
      <c r="B206" t="inlineStr">
        <is>
          <t>INTERRUPTOR TERMOMAGNETICO PARA RIEL DIN BIPOLAR 63A (10KA) LS</t>
        </is>
      </c>
      <c r="C206" t="inlineStr">
        <is>
          <t>Elementos electricos</t>
        </is>
      </c>
      <c r="D206" t="inlineStr">
        <is>
          <t>Unidad</t>
        </is>
      </c>
      <c r="E206" t="inlineStr">
        <is>
          <t>CDS</t>
        </is>
      </c>
      <c r="F206" t="n">
        <v>1</v>
      </c>
      <c r="G206" t="n">
        <v>0</v>
      </c>
      <c r="H206" t="n">
        <v>0</v>
      </c>
      <c r="I206" t="n">
        <v>0</v>
      </c>
      <c r="J206" t="n">
        <v>0</v>
      </c>
      <c r="K206" t="n">
        <v>0</v>
      </c>
      <c r="L206" t="n">
        <v>0</v>
      </c>
      <c r="M206">
        <f>F206+G206+H206+K206-I206-J206-L206</f>
        <v/>
      </c>
      <c r="N206" t="inlineStr">
        <is>
          <t>NO APLICA</t>
        </is>
      </c>
      <c r="O206" t="n">
        <v>5</v>
      </c>
      <c r="P206">
        <f>IF(M206&lt;0, "ERROR: SOBREGIRO", IF(M206=0, "SIN EXISTENCIAS", IF(M206&lt;=O206, "STOCK BAJO", "STOCK NORMAL")))</f>
        <v/>
      </c>
    </row>
    <row r="207">
      <c r="A207" t="n">
        <v>7247</v>
      </c>
      <c r="B207" t="inlineStr">
        <is>
          <t>INTERRUPTOR TERMOMAGNETICO PARA RIEL DIN MONOPOLAR 20A (10KA) LS</t>
        </is>
      </c>
      <c r="C207" t="inlineStr">
        <is>
          <t>Elementos electricos</t>
        </is>
      </c>
      <c r="D207" t="inlineStr">
        <is>
          <t>Unidad</t>
        </is>
      </c>
      <c r="E207" t="inlineStr">
        <is>
          <t>CDS</t>
        </is>
      </c>
      <c r="F207" t="n">
        <v>1</v>
      </c>
      <c r="G207" t="n">
        <v>0</v>
      </c>
      <c r="H207" t="n">
        <v>0</v>
      </c>
      <c r="I207" t="n">
        <v>0</v>
      </c>
      <c r="J207" t="n">
        <v>0</v>
      </c>
      <c r="K207" t="n">
        <v>0</v>
      </c>
      <c r="L207" t="n">
        <v>0</v>
      </c>
      <c r="M207">
        <f>F207+G207+H207+K207-I207-J207-L207</f>
        <v/>
      </c>
      <c r="N207" t="inlineStr">
        <is>
          <t>NO APLICA</t>
        </is>
      </c>
      <c r="O207" t="n">
        <v>5</v>
      </c>
      <c r="P207">
        <f>IF(M207&lt;0, "ERROR: SOBREGIRO", IF(M207=0, "SIN EXISTENCIAS", IF(M207&lt;=O207, "STOCK BAJO", "STOCK NORMAL")))</f>
        <v/>
      </c>
    </row>
    <row r="208">
      <c r="A208" t="n">
        <v>7259</v>
      </c>
      <c r="B208" t="inlineStr">
        <is>
          <t>INTERRUPTOR TERMOMAGNETICO PARA RIEL DIN TRIPOLAR 16A (10KA) LS</t>
        </is>
      </c>
      <c r="C208" t="inlineStr">
        <is>
          <t>Elementos electricos</t>
        </is>
      </c>
      <c r="D208" t="inlineStr">
        <is>
          <t>Unidad</t>
        </is>
      </c>
      <c r="E208" t="inlineStr">
        <is>
          <t>CDS</t>
        </is>
      </c>
      <c r="F208" t="n">
        <v>1</v>
      </c>
      <c r="G208" t="n">
        <v>0</v>
      </c>
      <c r="H208" t="n">
        <v>0</v>
      </c>
      <c r="I208" t="n">
        <v>0</v>
      </c>
      <c r="J208" t="n">
        <v>0</v>
      </c>
      <c r="K208" t="n">
        <v>0</v>
      </c>
      <c r="L208" t="n">
        <v>0</v>
      </c>
      <c r="M208">
        <f>F208+G208+H208+K208-I208-J208-L208</f>
        <v/>
      </c>
      <c r="N208" t="inlineStr">
        <is>
          <t>NO APLICA</t>
        </is>
      </c>
      <c r="O208" t="n">
        <v>5</v>
      </c>
      <c r="P208">
        <f>IF(M208&lt;0, "ERROR: SOBREGIRO", IF(M208=0, "SIN EXISTENCIAS", IF(M208&lt;=O208, "STOCK BAJO", "STOCK NORMAL")))</f>
        <v/>
      </c>
    </row>
    <row r="209">
      <c r="A209" t="n">
        <v>7261</v>
      </c>
      <c r="B209" t="inlineStr">
        <is>
          <t>INTERRUPTOR TERMOMAGNETICO PARA RIEL DIN TRIPOLAR 20A (10KA) LS</t>
        </is>
      </c>
      <c r="C209" t="inlineStr">
        <is>
          <t>Elementos electricos</t>
        </is>
      </c>
      <c r="D209" t="inlineStr">
        <is>
          <t>Unidad</t>
        </is>
      </c>
      <c r="E209" t="inlineStr">
        <is>
          <t>CDS</t>
        </is>
      </c>
      <c r="F209" t="n">
        <v>1</v>
      </c>
      <c r="G209" t="n">
        <v>0</v>
      </c>
      <c r="H209" t="n">
        <v>0</v>
      </c>
      <c r="I209" t="n">
        <v>0</v>
      </c>
      <c r="J209" t="n">
        <v>0</v>
      </c>
      <c r="K209" t="n">
        <v>0</v>
      </c>
      <c r="L209" t="n">
        <v>0</v>
      </c>
      <c r="M209">
        <f>F209+G209+H209+K209-I209-J209-L209</f>
        <v/>
      </c>
      <c r="N209" t="inlineStr">
        <is>
          <t>NO APLICA</t>
        </is>
      </c>
      <c r="O209" t="n">
        <v>5</v>
      </c>
      <c r="P209">
        <f>IF(M209&lt;0, "ERROR: SOBREGIRO", IF(M209=0, "SIN EXISTENCIAS", IF(M209&lt;=O209, "STOCK BAJO", "STOCK NORMAL")))</f>
        <v/>
      </c>
    </row>
    <row r="210">
      <c r="A210" t="n">
        <v>7262</v>
      </c>
      <c r="B210" t="inlineStr">
        <is>
          <t>INTERRUPTOR TERMOMAGNETICO PARA RIEL DIN TRIPOLAR 25A (10KA) LS</t>
        </is>
      </c>
      <c r="C210" t="inlineStr">
        <is>
          <t>Elementos electricos</t>
        </is>
      </c>
      <c r="D210" t="inlineStr">
        <is>
          <t>Unidad</t>
        </is>
      </c>
      <c r="E210" t="inlineStr">
        <is>
          <t>CDS</t>
        </is>
      </c>
      <c r="F210" t="n">
        <v>2</v>
      </c>
      <c r="G210" t="n">
        <v>0</v>
      </c>
      <c r="H210" t="n">
        <v>0</v>
      </c>
      <c r="I210" t="n">
        <v>0</v>
      </c>
      <c r="J210" t="n">
        <v>0</v>
      </c>
      <c r="K210" t="n">
        <v>0</v>
      </c>
      <c r="L210" t="n">
        <v>0</v>
      </c>
      <c r="M210">
        <f>F210+G210+H210+K210-I210-J210-L210</f>
        <v/>
      </c>
      <c r="N210" t="inlineStr">
        <is>
          <t>NO APLICA</t>
        </is>
      </c>
      <c r="O210" t="n">
        <v>5</v>
      </c>
      <c r="P210">
        <f>IF(M210&lt;0, "ERROR: SOBREGIRO", IF(M210=0, "SIN EXISTENCIAS", IF(M210&lt;=O210, "STOCK BAJO", "STOCK NORMAL")))</f>
        <v/>
      </c>
    </row>
    <row r="211">
      <c r="A211" t="n">
        <v>7264</v>
      </c>
      <c r="B211" t="inlineStr">
        <is>
          <t>INTERRUPTOR TERMOMAGNETICO PARA RIEL DIN TRIPOLAR 32A (10KA) LS</t>
        </is>
      </c>
      <c r="C211" t="inlineStr">
        <is>
          <t>Elementos electricos</t>
        </is>
      </c>
      <c r="D211" t="inlineStr">
        <is>
          <t>Unidad</t>
        </is>
      </c>
      <c r="E211" t="inlineStr">
        <is>
          <t>CDS</t>
        </is>
      </c>
      <c r="F211" t="n">
        <v>4</v>
      </c>
      <c r="G211" t="n">
        <v>0</v>
      </c>
      <c r="H211" t="n">
        <v>0</v>
      </c>
      <c r="I211" t="n">
        <v>0</v>
      </c>
      <c r="J211" t="n">
        <v>0</v>
      </c>
      <c r="K211" t="n">
        <v>0</v>
      </c>
      <c r="L211" t="n">
        <v>0</v>
      </c>
      <c r="M211">
        <f>F211+G211+H211+K211-I211-J211-L211</f>
        <v/>
      </c>
      <c r="N211" t="inlineStr">
        <is>
          <t>NO APLICA</t>
        </is>
      </c>
      <c r="O211" t="n">
        <v>5</v>
      </c>
      <c r="P211">
        <f>IF(M211&lt;0, "ERROR: SOBREGIRO", IF(M211=0, "SIN EXISTENCIAS", IF(M211&lt;=O211, "STOCK BAJO", "STOCK NORMAL")))</f>
        <v/>
      </c>
    </row>
    <row r="212">
      <c r="A212" t="n">
        <v>7269</v>
      </c>
      <c r="B212" t="inlineStr">
        <is>
          <t>INTERRUPTOR TERMOMAGNETICO PARA RIEL DIN TRIPOLAR 63A (10KA) LS</t>
        </is>
      </c>
      <c r="C212" t="inlineStr">
        <is>
          <t>Elementos electricos</t>
        </is>
      </c>
      <c r="D212" t="inlineStr">
        <is>
          <t>Unidad</t>
        </is>
      </c>
      <c r="E212" t="inlineStr">
        <is>
          <t>CDS</t>
        </is>
      </c>
      <c r="F212" t="n">
        <v>2</v>
      </c>
      <c r="G212" t="n">
        <v>0</v>
      </c>
      <c r="H212" t="n">
        <v>0</v>
      </c>
      <c r="I212" t="n">
        <v>0</v>
      </c>
      <c r="J212" t="n">
        <v>0</v>
      </c>
      <c r="K212" t="n">
        <v>0</v>
      </c>
      <c r="L212" t="n">
        <v>0</v>
      </c>
      <c r="M212">
        <f>F212+G212+H212+K212-I212-J212-L212</f>
        <v/>
      </c>
      <c r="N212" t="inlineStr">
        <is>
          <t>NO APLICA</t>
        </is>
      </c>
      <c r="O212" t="n">
        <v>5</v>
      </c>
      <c r="P212">
        <f>IF(M212&lt;0, "ERROR: SOBREGIRO", IF(M212=0, "SIN EXISTENCIAS", IF(M212&lt;=O212, "STOCK BAJO", "STOCK NORMAL")))</f>
        <v/>
      </c>
    </row>
    <row r="213">
      <c r="A213" t="n">
        <v>7281</v>
      </c>
      <c r="B213" t="inlineStr">
        <is>
          <t>RELE DE PROTECCION SIL-G FANOX</t>
        </is>
      </c>
      <c r="C213" t="inlineStr">
        <is>
          <t>Elementos electricos</t>
        </is>
      </c>
      <c r="D213" t="inlineStr">
        <is>
          <t>Unidad</t>
        </is>
      </c>
      <c r="E213" t="inlineStr">
        <is>
          <t>CDS</t>
        </is>
      </c>
      <c r="F213" t="n">
        <v>0</v>
      </c>
      <c r="G213" t="n">
        <v>0</v>
      </c>
      <c r="H213" t="n">
        <v>0</v>
      </c>
      <c r="I213" t="n">
        <v>0</v>
      </c>
      <c r="J213" t="n">
        <v>0</v>
      </c>
      <c r="K213" t="n">
        <v>0</v>
      </c>
      <c r="L213" t="n">
        <v>0</v>
      </c>
      <c r="M213">
        <f>F213+G213+H213+K213-I213-J213-L213</f>
        <v/>
      </c>
      <c r="N213" t="inlineStr">
        <is>
          <t>NO APLICA</t>
        </is>
      </c>
      <c r="O213" t="n">
        <v>5</v>
      </c>
      <c r="P213">
        <f>IF(M213&lt;0, "ERROR: SOBREGIRO", IF(M213=0, "SIN EXISTENCIAS", IF(M213&lt;=O213, "STOCK BAJO", "STOCK NORMAL")))</f>
        <v/>
      </c>
    </row>
    <row r="214">
      <c r="A214" t="n">
        <v>7290</v>
      </c>
      <c r="B214" t="inlineStr">
        <is>
          <t>TRANSFORMADOR DE CORRIENTE 400/5A CLASE 0,5S MAVILL</t>
        </is>
      </c>
      <c r="C214" t="inlineStr">
        <is>
          <t>Materiales</t>
        </is>
      </c>
      <c r="D214" t="inlineStr">
        <is>
          <t>Unidad</t>
        </is>
      </c>
      <c r="E214" t="inlineStr">
        <is>
          <t>CDS</t>
        </is>
      </c>
      <c r="F214" t="n">
        <v>0</v>
      </c>
      <c r="G214" t="n">
        <v>0</v>
      </c>
      <c r="H214" t="n">
        <v>0</v>
      </c>
      <c r="I214" t="n">
        <v>0</v>
      </c>
      <c r="J214" t="n">
        <v>0</v>
      </c>
      <c r="K214" t="n">
        <v>0</v>
      </c>
      <c r="L214" t="n">
        <v>0</v>
      </c>
      <c r="M214">
        <f>F214+G214+H214+K214-I214-J214-L214</f>
        <v/>
      </c>
      <c r="N214" t="inlineStr">
        <is>
          <t>NO APLICA</t>
        </is>
      </c>
      <c r="O214" t="n">
        <v>5</v>
      </c>
      <c r="P214">
        <f>IF(M214&lt;0, "ERROR: SOBREGIRO", IF(M214=0, "SIN EXISTENCIAS", IF(M214&lt;=O214, "STOCK BAJO", "STOCK NORMAL")))</f>
        <v/>
      </c>
    </row>
    <row r="215">
      <c r="A215" t="n">
        <v>7299</v>
      </c>
      <c r="B215" t="inlineStr">
        <is>
          <t>BANDEJA PORTACABLES ESCALERA TIPO B 10X5</t>
        </is>
      </c>
      <c r="C215" t="inlineStr">
        <is>
          <t>Cableado</t>
        </is>
      </c>
      <c r="D215" t="inlineStr">
        <is>
          <t>Metro</t>
        </is>
      </c>
      <c r="E215" t="inlineStr">
        <is>
          <t>CDS</t>
        </is>
      </c>
      <c r="F215" t="n">
        <v>0</v>
      </c>
      <c r="G215" t="n">
        <v>0</v>
      </c>
      <c r="H215" t="n">
        <v>0</v>
      </c>
      <c r="I215" t="n">
        <v>0</v>
      </c>
      <c r="J215" t="n">
        <v>0</v>
      </c>
      <c r="K215" t="n">
        <v>0</v>
      </c>
      <c r="L215" t="n">
        <v>0</v>
      </c>
      <c r="M215">
        <f>F215+G215+H215+K215-I215-J215-L215</f>
        <v/>
      </c>
      <c r="N215" t="inlineStr">
        <is>
          <t>NO APLICA</t>
        </is>
      </c>
      <c r="O215" t="n">
        <v>5</v>
      </c>
      <c r="P215">
        <f>IF(M215&lt;0, "ERROR: SOBREGIRO", IF(M215=0, "SIN EXISTENCIAS", IF(M215&lt;=O215, "STOCK BAJO", "STOCK NORMAL")))</f>
        <v/>
      </c>
    </row>
    <row r="216">
      <c r="A216" t="n">
        <v>7300</v>
      </c>
      <c r="B216" t="inlineStr">
        <is>
          <t>BANDEJA PORTACABLES ESCALERA TIPO B 10X8</t>
        </is>
      </c>
      <c r="C216" t="inlineStr">
        <is>
          <t>Cableado</t>
        </is>
      </c>
      <c r="D216" t="inlineStr">
        <is>
          <t>Metro</t>
        </is>
      </c>
      <c r="E216" t="inlineStr">
        <is>
          <t>CDS</t>
        </is>
      </c>
      <c r="F216" t="n">
        <v>0</v>
      </c>
      <c r="G216" t="n">
        <v>0</v>
      </c>
      <c r="H216" t="n">
        <v>0</v>
      </c>
      <c r="I216" t="n">
        <v>0</v>
      </c>
      <c r="J216" t="n">
        <v>0</v>
      </c>
      <c r="K216" t="n">
        <v>0</v>
      </c>
      <c r="L216" t="n">
        <v>0</v>
      </c>
      <c r="M216">
        <f>F216+G216+H216+K216-I216-J216-L216</f>
        <v/>
      </c>
      <c r="N216" t="inlineStr">
        <is>
          <t>NO APLICA</t>
        </is>
      </c>
      <c r="O216" t="n">
        <v>5</v>
      </c>
      <c r="P216">
        <f>IF(M216&lt;0, "ERROR: SOBREGIRO", IF(M216=0, "SIN EXISTENCIAS", IF(M216&lt;=O216, "STOCK BAJO", "STOCK NORMAL")))</f>
        <v/>
      </c>
    </row>
    <row r="217">
      <c r="A217" t="n">
        <v>7309</v>
      </c>
      <c r="B217" t="inlineStr">
        <is>
          <t>BASE PERFIL SENCILLA CORTA</t>
        </is>
      </c>
      <c r="C217" t="inlineStr">
        <is>
          <t>Materiales</t>
        </is>
      </c>
      <c r="D217" t="inlineStr">
        <is>
          <t>Metro</t>
        </is>
      </c>
      <c r="E217" t="inlineStr">
        <is>
          <t>CDS</t>
        </is>
      </c>
      <c r="F217" t="n">
        <v>0</v>
      </c>
      <c r="G217" t="n">
        <v>0</v>
      </c>
      <c r="H217" t="n">
        <v>0</v>
      </c>
      <c r="I217" t="n">
        <v>0</v>
      </c>
      <c r="J217" t="n">
        <v>0</v>
      </c>
      <c r="K217" t="n">
        <v>0</v>
      </c>
      <c r="L217" t="n">
        <v>0</v>
      </c>
      <c r="M217">
        <f>F217+G217+H217+K217-I217-J217-L217</f>
        <v/>
      </c>
      <c r="N217" t="inlineStr">
        <is>
          <t>NO APLICA</t>
        </is>
      </c>
      <c r="O217" t="n">
        <v>5</v>
      </c>
      <c r="P217">
        <f>IF(M217&lt;0, "ERROR: SOBREGIRO", IF(M217=0, "SIN EXISTENCIAS", IF(M217&lt;=O217, "STOCK BAJO", "STOCK NORMAL")))</f>
        <v/>
      </c>
    </row>
    <row r="218">
      <c r="A218" t="n">
        <v>7310</v>
      </c>
      <c r="B218" t="inlineStr">
        <is>
          <t>BASE PERFIL SENCILLA LARGA</t>
        </is>
      </c>
      <c r="C218" t="inlineStr">
        <is>
          <t>Materiales</t>
        </is>
      </c>
      <c r="D218" t="inlineStr">
        <is>
          <t>Metro</t>
        </is>
      </c>
      <c r="E218" t="inlineStr">
        <is>
          <t>CDS</t>
        </is>
      </c>
      <c r="F218" t="n">
        <v>0</v>
      </c>
      <c r="G218" t="n">
        <v>0</v>
      </c>
      <c r="H218" t="n">
        <v>0</v>
      </c>
      <c r="I218" t="n">
        <v>0</v>
      </c>
      <c r="J218" t="n">
        <v>0</v>
      </c>
      <c r="K218" t="n">
        <v>0</v>
      </c>
      <c r="L218" t="n">
        <v>0</v>
      </c>
      <c r="M218">
        <f>F218+G218+H218+K218-I218-J218-L218</f>
        <v/>
      </c>
      <c r="N218" t="inlineStr">
        <is>
          <t>NO APLICA</t>
        </is>
      </c>
      <c r="O218" t="n">
        <v>5</v>
      </c>
      <c r="P218">
        <f>IF(M218&lt;0, "ERROR: SOBREGIRO", IF(M218=0, "SIN EXISTENCIAS", IF(M218&lt;=O218, "STOCK BAJO", "STOCK NORMAL")))</f>
        <v/>
      </c>
    </row>
    <row r="219">
      <c r="A219" t="n">
        <v>7316</v>
      </c>
      <c r="B219" t="inlineStr">
        <is>
          <t>CONECTOR PERFIL PERPENDICULAR 4X4 (OMEGA) GALVANIZADO EN CALIENTE</t>
        </is>
      </c>
      <c r="C219" t="inlineStr">
        <is>
          <t>Materiales</t>
        </is>
      </c>
      <c r="D219" t="inlineStr">
        <is>
          <t>Metro</t>
        </is>
      </c>
      <c r="E219" t="inlineStr">
        <is>
          <t>CDS</t>
        </is>
      </c>
      <c r="F219" t="n">
        <v>0</v>
      </c>
      <c r="G219" t="n">
        <v>0</v>
      </c>
      <c r="H219" t="n">
        <v>0</v>
      </c>
      <c r="I219" t="n">
        <v>0</v>
      </c>
      <c r="J219" t="n">
        <v>0</v>
      </c>
      <c r="K219" t="n">
        <v>0</v>
      </c>
      <c r="L219" t="n">
        <v>0</v>
      </c>
      <c r="M219">
        <f>F219+G219+H219+K219-I219-J219-L219</f>
        <v/>
      </c>
      <c r="N219" t="inlineStr">
        <is>
          <t>NO APLICA</t>
        </is>
      </c>
      <c r="O219" t="n">
        <v>5</v>
      </c>
      <c r="P219">
        <f>IF(M219&lt;0, "ERROR: SOBREGIRO", IF(M219=0, "SIN EXISTENCIAS", IF(M219&lt;=O219, "STOCK BAJO", "STOCK NORMAL")))</f>
        <v/>
      </c>
    </row>
    <row r="220">
      <c r="A220" t="n">
        <v>7333</v>
      </c>
      <c r="B220" t="inlineStr">
        <is>
          <t>CURVA BANDEJA HORIZONTAL 90° 10X5</t>
        </is>
      </c>
      <c r="C220" t="inlineStr">
        <is>
          <t>Materiales</t>
        </is>
      </c>
      <c r="D220" t="inlineStr">
        <is>
          <t>Unidad</t>
        </is>
      </c>
      <c r="E220" t="inlineStr">
        <is>
          <t>CDS</t>
        </is>
      </c>
      <c r="F220" t="n">
        <v>0</v>
      </c>
      <c r="G220" t="n">
        <v>0</v>
      </c>
      <c r="H220" t="n">
        <v>0</v>
      </c>
      <c r="I220" t="n">
        <v>0</v>
      </c>
      <c r="J220" t="n">
        <v>0</v>
      </c>
      <c r="K220" t="n">
        <v>0</v>
      </c>
      <c r="L220" t="n">
        <v>0</v>
      </c>
      <c r="M220">
        <f>F220+G220+H220+K220-I220-J220-L220</f>
        <v/>
      </c>
      <c r="N220" t="inlineStr">
        <is>
          <t>NO APLICA</t>
        </is>
      </c>
      <c r="O220" t="n">
        <v>5</v>
      </c>
      <c r="P220">
        <f>IF(M220&lt;0, "ERROR: SOBREGIRO", IF(M220=0, "SIN EXISTENCIAS", IF(M220&lt;=O220, "STOCK BAJO", "STOCK NORMAL")))</f>
        <v/>
      </c>
    </row>
    <row r="221">
      <c r="A221" t="n">
        <v>7334</v>
      </c>
      <c r="B221" t="inlineStr">
        <is>
          <t>CURVA BANDEJA HORIZONTAL 90° 10X8</t>
        </is>
      </c>
      <c r="C221" t="inlineStr">
        <is>
          <t>Materiales</t>
        </is>
      </c>
      <c r="D221" t="inlineStr">
        <is>
          <t>Unidad</t>
        </is>
      </c>
      <c r="E221" t="inlineStr">
        <is>
          <t>CDS</t>
        </is>
      </c>
      <c r="F221" t="n">
        <v>0</v>
      </c>
      <c r="G221" t="n">
        <v>0</v>
      </c>
      <c r="H221" t="n">
        <v>0</v>
      </c>
      <c r="I221" t="n">
        <v>0</v>
      </c>
      <c r="J221" t="n">
        <v>0</v>
      </c>
      <c r="K221" t="n">
        <v>0</v>
      </c>
      <c r="L221" t="n">
        <v>0</v>
      </c>
      <c r="M221">
        <f>F221+G221+H221+K221-I221-J221-L221</f>
        <v/>
      </c>
      <c r="N221" t="inlineStr">
        <is>
          <t>NO APLICA</t>
        </is>
      </c>
      <c r="O221" t="n">
        <v>5</v>
      </c>
      <c r="P221">
        <f>IF(M221&lt;0, "ERROR: SOBREGIRO", IF(M221=0, "SIN EXISTENCIAS", IF(M221&lt;=O221, "STOCK BAJO", "STOCK NORMAL")))</f>
        <v/>
      </c>
    </row>
    <row r="222">
      <c r="A222" t="n">
        <v>7336</v>
      </c>
      <c r="B222" t="inlineStr">
        <is>
          <t>CURVA BANDEJA HORIZONTAL 90° 20X8</t>
        </is>
      </c>
      <c r="C222" t="inlineStr">
        <is>
          <t>Materiales</t>
        </is>
      </c>
      <c r="D222" t="inlineStr">
        <is>
          <t>Unidad</t>
        </is>
      </c>
      <c r="E222" t="inlineStr">
        <is>
          <t>CDS</t>
        </is>
      </c>
      <c r="F222" t="n">
        <v>0</v>
      </c>
      <c r="G222" t="n">
        <v>0</v>
      </c>
      <c r="H222" t="n">
        <v>0</v>
      </c>
      <c r="I222" t="n">
        <v>0</v>
      </c>
      <c r="J222" t="n">
        <v>0</v>
      </c>
      <c r="K222" t="n">
        <v>0</v>
      </c>
      <c r="L222" t="n">
        <v>0</v>
      </c>
      <c r="M222">
        <f>F222+G222+H222+K222-I222-J222-L222</f>
        <v/>
      </c>
      <c r="N222" t="inlineStr">
        <is>
          <t>NO APLICA</t>
        </is>
      </c>
      <c r="O222" t="n">
        <v>5</v>
      </c>
      <c r="P222">
        <f>IF(M222&lt;0, "ERROR: SOBREGIRO", IF(M222=0, "SIN EXISTENCIAS", IF(M222&lt;=O222, "STOCK BAJO", "STOCK NORMAL")))</f>
        <v/>
      </c>
    </row>
    <row r="223">
      <c r="A223" t="n">
        <v>7338</v>
      </c>
      <c r="B223" t="inlineStr">
        <is>
          <t>CURVA BANDEJA HORIZONTAL 90° 30X8</t>
        </is>
      </c>
      <c r="C223" t="inlineStr">
        <is>
          <t>Materiales</t>
        </is>
      </c>
      <c r="D223" t="inlineStr">
        <is>
          <t>Unidad</t>
        </is>
      </c>
      <c r="E223" t="inlineStr">
        <is>
          <t>CDS</t>
        </is>
      </c>
      <c r="F223" t="n">
        <v>0</v>
      </c>
      <c r="G223" t="n">
        <v>0</v>
      </c>
      <c r="H223" t="n">
        <v>0</v>
      </c>
      <c r="I223" t="n">
        <v>0</v>
      </c>
      <c r="J223" t="n">
        <v>0</v>
      </c>
      <c r="K223" t="n">
        <v>0</v>
      </c>
      <c r="L223" t="n">
        <v>0</v>
      </c>
      <c r="M223">
        <f>F223+G223+H223+K223-I223-J223-L223</f>
        <v/>
      </c>
      <c r="N223" t="inlineStr">
        <is>
          <t>NO APLICA</t>
        </is>
      </c>
      <c r="O223" t="n">
        <v>5</v>
      </c>
      <c r="P223">
        <f>IF(M223&lt;0, "ERROR: SOBREGIRO", IF(M223=0, "SIN EXISTENCIAS", IF(M223&lt;=O223, "STOCK BAJO", "STOCK NORMAL")))</f>
        <v/>
      </c>
    </row>
    <row r="224">
      <c r="A224" t="n">
        <v>7340</v>
      </c>
      <c r="B224" t="inlineStr">
        <is>
          <t>CURVA BANDEJA HORIZONTAL 90° 40X8</t>
        </is>
      </c>
      <c r="C224" t="inlineStr">
        <is>
          <t>Materiales</t>
        </is>
      </c>
      <c r="D224" t="inlineStr">
        <is>
          <t>Unidad</t>
        </is>
      </c>
      <c r="E224" t="inlineStr">
        <is>
          <t>CDS</t>
        </is>
      </c>
      <c r="F224" t="n">
        <v>0</v>
      </c>
      <c r="G224" t="n">
        <v>0</v>
      </c>
      <c r="H224" t="n">
        <v>0</v>
      </c>
      <c r="I224" t="n">
        <v>0</v>
      </c>
      <c r="J224" t="n">
        <v>0</v>
      </c>
      <c r="K224" t="n">
        <v>0</v>
      </c>
      <c r="L224" t="n">
        <v>0</v>
      </c>
      <c r="M224">
        <f>F224+G224+H224+K224-I224-J224-L224</f>
        <v/>
      </c>
      <c r="N224" t="inlineStr">
        <is>
          <t>NO APLICA</t>
        </is>
      </c>
      <c r="O224" t="n">
        <v>5</v>
      </c>
      <c r="P224">
        <f>IF(M224&lt;0, "ERROR: SOBREGIRO", IF(M224=0, "SIN EXISTENCIAS", IF(M224&lt;=O224, "STOCK BAJO", "STOCK NORMAL")))</f>
        <v/>
      </c>
    </row>
    <row r="225">
      <c r="A225" t="n">
        <v>7350</v>
      </c>
      <c r="B225" t="inlineStr">
        <is>
          <t>CURVA BANDEJA VERTICAL EXTERIOR 90° 10X8</t>
        </is>
      </c>
      <c r="C225" t="inlineStr">
        <is>
          <t>Materiales</t>
        </is>
      </c>
      <c r="D225" t="inlineStr">
        <is>
          <t>Unidad</t>
        </is>
      </c>
      <c r="E225" t="inlineStr">
        <is>
          <t>CDS</t>
        </is>
      </c>
      <c r="F225" t="n">
        <v>0</v>
      </c>
      <c r="G225" t="n">
        <v>0</v>
      </c>
      <c r="H225" t="n">
        <v>0</v>
      </c>
      <c r="I225" t="n">
        <v>0</v>
      </c>
      <c r="J225" t="n">
        <v>0</v>
      </c>
      <c r="K225" t="n">
        <v>0</v>
      </c>
      <c r="L225" t="n">
        <v>0</v>
      </c>
      <c r="M225">
        <f>F225+G225+H225+K225-I225-J225-L225</f>
        <v/>
      </c>
      <c r="N225" t="inlineStr">
        <is>
          <t>NO APLICA</t>
        </is>
      </c>
      <c r="O225" t="n">
        <v>5</v>
      </c>
      <c r="P225">
        <f>IF(M225&lt;0, "ERROR: SOBREGIRO", IF(M225=0, "SIN EXISTENCIAS", IF(M225&lt;=O225, "STOCK BAJO", "STOCK NORMAL")))</f>
        <v/>
      </c>
    </row>
    <row r="226">
      <c r="A226" t="n">
        <v>7352</v>
      </c>
      <c r="B226" t="inlineStr">
        <is>
          <t>CURVA BANDEJA VERTICAL EXTERIOR 90° 20X8</t>
        </is>
      </c>
      <c r="C226" t="inlineStr">
        <is>
          <t>Materiales</t>
        </is>
      </c>
      <c r="D226" t="inlineStr">
        <is>
          <t>Unidad</t>
        </is>
      </c>
      <c r="E226" t="inlineStr">
        <is>
          <t>CDS</t>
        </is>
      </c>
      <c r="F226" t="n">
        <v>0</v>
      </c>
      <c r="G226" t="n">
        <v>0</v>
      </c>
      <c r="H226" t="n">
        <v>0</v>
      </c>
      <c r="I226" t="n">
        <v>0</v>
      </c>
      <c r="J226" t="n">
        <v>0</v>
      </c>
      <c r="K226" t="n">
        <v>0</v>
      </c>
      <c r="L226" t="n">
        <v>0</v>
      </c>
      <c r="M226">
        <f>F226+G226+H226+K226-I226-J226-L226</f>
        <v/>
      </c>
      <c r="N226" t="inlineStr">
        <is>
          <t>NO APLICA</t>
        </is>
      </c>
      <c r="O226" t="n">
        <v>5</v>
      </c>
      <c r="P226">
        <f>IF(M226&lt;0, "ERROR: SOBREGIRO", IF(M226=0, "SIN EXISTENCIAS", IF(M226&lt;=O226, "STOCK BAJO", "STOCK NORMAL")))</f>
        <v/>
      </c>
    </row>
    <row r="227">
      <c r="A227" t="n">
        <v>7354</v>
      </c>
      <c r="B227" t="inlineStr">
        <is>
          <t>CURVA BANDEJA VERTICAL EXTERIOR 90° 30X8</t>
        </is>
      </c>
      <c r="C227" t="inlineStr">
        <is>
          <t>Materiales</t>
        </is>
      </c>
      <c r="D227" t="inlineStr">
        <is>
          <t>Unidad</t>
        </is>
      </c>
      <c r="E227" t="inlineStr">
        <is>
          <t>CDS</t>
        </is>
      </c>
      <c r="F227" t="n">
        <v>0</v>
      </c>
      <c r="G227" t="n">
        <v>0</v>
      </c>
      <c r="H227" t="n">
        <v>0</v>
      </c>
      <c r="I227" t="n">
        <v>0</v>
      </c>
      <c r="J227" t="n">
        <v>0</v>
      </c>
      <c r="K227" t="n">
        <v>0</v>
      </c>
      <c r="L227" t="n">
        <v>0</v>
      </c>
      <c r="M227">
        <f>F227+G227+H227+K227-I227-J227-L227</f>
        <v/>
      </c>
      <c r="N227" t="inlineStr">
        <is>
          <t>NO APLICA</t>
        </is>
      </c>
      <c r="O227" t="n">
        <v>5</v>
      </c>
      <c r="P227">
        <f>IF(M227&lt;0, "ERROR: SOBREGIRO", IF(M227=0, "SIN EXISTENCIAS", IF(M227&lt;=O227, "STOCK BAJO", "STOCK NORMAL")))</f>
        <v/>
      </c>
    </row>
    <row r="228">
      <c r="A228" t="n">
        <v>7356</v>
      </c>
      <c r="B228" t="inlineStr">
        <is>
          <t>CURVA BANDEJA VERTICAL EXTERIOR 90° 40X8</t>
        </is>
      </c>
      <c r="C228" t="inlineStr">
        <is>
          <t>Materiales</t>
        </is>
      </c>
      <c r="D228" t="inlineStr">
        <is>
          <t>Unidad</t>
        </is>
      </c>
      <c r="E228" t="inlineStr">
        <is>
          <t>CDS</t>
        </is>
      </c>
      <c r="F228" t="n">
        <v>0</v>
      </c>
      <c r="G228" t="n">
        <v>0</v>
      </c>
      <c r="H228" t="n">
        <v>0</v>
      </c>
      <c r="I228" t="n">
        <v>0</v>
      </c>
      <c r="J228" t="n">
        <v>0</v>
      </c>
      <c r="K228" t="n">
        <v>0</v>
      </c>
      <c r="L228" t="n">
        <v>0</v>
      </c>
      <c r="M228">
        <f>F228+G228+H228+K228-I228-J228-L228</f>
        <v/>
      </c>
      <c r="N228" t="inlineStr">
        <is>
          <t>NO APLICA</t>
        </is>
      </c>
      <c r="O228" t="n">
        <v>5</v>
      </c>
      <c r="P228">
        <f>IF(M228&lt;0, "ERROR: SOBREGIRO", IF(M228=0, "SIN EXISTENCIAS", IF(M228&lt;=O228, "STOCK BAJO", "STOCK NORMAL")))</f>
        <v/>
      </c>
    </row>
    <row r="229">
      <c r="A229" t="n">
        <v>7366</v>
      </c>
      <c r="B229" t="inlineStr">
        <is>
          <t>CURVA BANDEJA VERTICAL INTERIOR 90° 10X8</t>
        </is>
      </c>
      <c r="C229" t="inlineStr">
        <is>
          <t>Materiales</t>
        </is>
      </c>
      <c r="D229" t="inlineStr">
        <is>
          <t>Unidad</t>
        </is>
      </c>
      <c r="E229" t="inlineStr">
        <is>
          <t>CDS</t>
        </is>
      </c>
      <c r="F229" t="n">
        <v>0</v>
      </c>
      <c r="G229" t="n">
        <v>0</v>
      </c>
      <c r="H229" t="n">
        <v>0</v>
      </c>
      <c r="I229" t="n">
        <v>0</v>
      </c>
      <c r="J229" t="n">
        <v>0</v>
      </c>
      <c r="K229" t="n">
        <v>0</v>
      </c>
      <c r="L229" t="n">
        <v>0</v>
      </c>
      <c r="M229">
        <f>F229+G229+H229+K229-I229-J229-L229</f>
        <v/>
      </c>
      <c r="N229" t="inlineStr">
        <is>
          <t>NO APLICA</t>
        </is>
      </c>
      <c r="O229" t="n">
        <v>5</v>
      </c>
      <c r="P229">
        <f>IF(M229&lt;0, "ERROR: SOBREGIRO", IF(M229=0, "SIN EXISTENCIAS", IF(M229&lt;=O229, "STOCK BAJO", "STOCK NORMAL")))</f>
        <v/>
      </c>
    </row>
    <row r="230">
      <c r="A230" t="n">
        <v>7368</v>
      </c>
      <c r="B230" t="inlineStr">
        <is>
          <t>CURVA BANDEJA VERTICAL INTERIOR 90° 20X8</t>
        </is>
      </c>
      <c r="C230" t="inlineStr">
        <is>
          <t>Materiales</t>
        </is>
      </c>
      <c r="D230" t="inlineStr">
        <is>
          <t>Unidad</t>
        </is>
      </c>
      <c r="E230" t="inlineStr">
        <is>
          <t>CDS</t>
        </is>
      </c>
      <c r="F230" t="n">
        <v>0</v>
      </c>
      <c r="G230" t="n">
        <v>0</v>
      </c>
      <c r="H230" t="n">
        <v>0</v>
      </c>
      <c r="I230" t="n">
        <v>0</v>
      </c>
      <c r="J230" t="n">
        <v>0</v>
      </c>
      <c r="K230" t="n">
        <v>0</v>
      </c>
      <c r="L230" t="n">
        <v>0</v>
      </c>
      <c r="M230">
        <f>F230+G230+H230+K230-I230-J230-L230</f>
        <v/>
      </c>
      <c r="N230" t="inlineStr">
        <is>
          <t>NO APLICA</t>
        </is>
      </c>
      <c r="O230" t="n">
        <v>5</v>
      </c>
      <c r="P230">
        <f>IF(M230&lt;0, "ERROR: SOBREGIRO", IF(M230=0, "SIN EXISTENCIAS", IF(M230&lt;=O230, "STOCK BAJO", "STOCK NORMAL")))</f>
        <v/>
      </c>
    </row>
    <row r="231">
      <c r="A231" t="n">
        <v>7370</v>
      </c>
      <c r="B231" t="inlineStr">
        <is>
          <t>CURVA BANDEJA VERTICAL INTERIOR 90° 30X8</t>
        </is>
      </c>
      <c r="C231" t="inlineStr">
        <is>
          <t>Materiales</t>
        </is>
      </c>
      <c r="D231" t="inlineStr">
        <is>
          <t>Unidad</t>
        </is>
      </c>
      <c r="E231" t="inlineStr">
        <is>
          <t>CDS</t>
        </is>
      </c>
      <c r="F231" t="n">
        <v>0</v>
      </c>
      <c r="G231" t="n">
        <v>0</v>
      </c>
      <c r="H231" t="n">
        <v>0</v>
      </c>
      <c r="I231" t="n">
        <v>0</v>
      </c>
      <c r="J231" t="n">
        <v>0</v>
      </c>
      <c r="K231" t="n">
        <v>0</v>
      </c>
      <c r="L231" t="n">
        <v>0</v>
      </c>
      <c r="M231">
        <f>F231+G231+H231+K231-I231-J231-L231</f>
        <v/>
      </c>
      <c r="N231" t="inlineStr">
        <is>
          <t>NO APLICA</t>
        </is>
      </c>
      <c r="O231" t="n">
        <v>5</v>
      </c>
      <c r="P231">
        <f>IF(M231&lt;0, "ERROR: SOBREGIRO", IF(M231=0, "SIN EXISTENCIAS", IF(M231&lt;=O231, "STOCK BAJO", "STOCK NORMAL")))</f>
        <v/>
      </c>
    </row>
    <row r="232">
      <c r="A232" t="n">
        <v>7372</v>
      </c>
      <c r="B232" t="inlineStr">
        <is>
          <t>CURVA BANDEJA VERTICAL INTERIOR 90° 40X8</t>
        </is>
      </c>
      <c r="C232" t="inlineStr">
        <is>
          <t>Materiales</t>
        </is>
      </c>
      <c r="D232" t="inlineStr">
        <is>
          <t>Unidad</t>
        </is>
      </c>
      <c r="E232" t="inlineStr">
        <is>
          <t>CDS</t>
        </is>
      </c>
      <c r="F232" t="n">
        <v>0</v>
      </c>
      <c r="G232" t="n">
        <v>0</v>
      </c>
      <c r="H232" t="n">
        <v>0</v>
      </c>
      <c r="I232" t="n">
        <v>0</v>
      </c>
      <c r="J232" t="n">
        <v>0</v>
      </c>
      <c r="K232" t="n">
        <v>0</v>
      </c>
      <c r="L232" t="n">
        <v>0</v>
      </c>
      <c r="M232">
        <f>F232+G232+H232+K232-I232-J232-L232</f>
        <v/>
      </c>
      <c r="N232" t="inlineStr">
        <is>
          <t>NO APLICA</t>
        </is>
      </c>
      <c r="O232" t="n">
        <v>5</v>
      </c>
      <c r="P232">
        <f>IF(M232&lt;0, "ERROR: SOBREGIRO", IF(M232=0, "SIN EXISTENCIAS", IF(M232&lt;=O232, "STOCK BAJO", "STOCK NORMAL")))</f>
        <v/>
      </c>
    </row>
    <row r="233">
      <c r="A233" t="n">
        <v>7376</v>
      </c>
      <c r="B233" t="inlineStr">
        <is>
          <t>MENSULA CANAL SENCILLO 15CM</t>
        </is>
      </c>
      <c r="C233" t="inlineStr">
        <is>
          <t>Materiales</t>
        </is>
      </c>
      <c r="D233" t="inlineStr">
        <is>
          <t>Unidad</t>
        </is>
      </c>
      <c r="E233" t="inlineStr">
        <is>
          <t>CDS</t>
        </is>
      </c>
      <c r="F233" t="n">
        <v>0</v>
      </c>
      <c r="G233" t="n">
        <v>0</v>
      </c>
      <c r="H233" t="n">
        <v>0</v>
      </c>
      <c r="I233" t="n">
        <v>0</v>
      </c>
      <c r="J233" t="n">
        <v>0</v>
      </c>
      <c r="K233" t="n">
        <v>0</v>
      </c>
      <c r="L233" t="n">
        <v>0</v>
      </c>
      <c r="M233">
        <f>F233+G233+H233+K233-I233-J233-L233</f>
        <v/>
      </c>
      <c r="N233" t="inlineStr">
        <is>
          <t>NO APLICA</t>
        </is>
      </c>
      <c r="O233" t="n">
        <v>5</v>
      </c>
      <c r="P233">
        <f>IF(M233&lt;0, "ERROR: SOBREGIRO", IF(M233=0, "SIN EXISTENCIAS", IF(M233&lt;=O233, "STOCK BAJO", "STOCK NORMAL")))</f>
        <v/>
      </c>
    </row>
    <row r="234">
      <c r="A234" t="n">
        <v>7377</v>
      </c>
      <c r="B234" t="inlineStr">
        <is>
          <t>MENSULA CANAL SENCILLO 20CM</t>
        </is>
      </c>
      <c r="C234" t="inlineStr">
        <is>
          <t>Materiales</t>
        </is>
      </c>
      <c r="D234" t="inlineStr">
        <is>
          <t>Unidad</t>
        </is>
      </c>
      <c r="E234" t="inlineStr">
        <is>
          <t>CDS</t>
        </is>
      </c>
      <c r="F234" t="n">
        <v>0</v>
      </c>
      <c r="G234" t="n">
        <v>0</v>
      </c>
      <c r="H234" t="n">
        <v>0</v>
      </c>
      <c r="I234" t="n">
        <v>0</v>
      </c>
      <c r="J234" t="n">
        <v>0</v>
      </c>
      <c r="K234" t="n">
        <v>0</v>
      </c>
      <c r="L234" t="n">
        <v>0</v>
      </c>
      <c r="M234">
        <f>F234+G234+H234+K234-I234-J234-L234</f>
        <v/>
      </c>
      <c r="N234" t="inlineStr">
        <is>
          <t>NO APLICA</t>
        </is>
      </c>
      <c r="O234" t="n">
        <v>5</v>
      </c>
      <c r="P234">
        <f>IF(M234&lt;0, "ERROR: SOBREGIRO", IF(M234=0, "SIN EXISTENCIAS", IF(M234&lt;=O234, "STOCK BAJO", "STOCK NORMAL")))</f>
        <v/>
      </c>
    </row>
    <row r="235">
      <c r="A235" t="n">
        <v>7379</v>
      </c>
      <c r="B235" t="inlineStr">
        <is>
          <t>MENSULA CANAL SENCILLO 30CM</t>
        </is>
      </c>
      <c r="C235" t="inlineStr">
        <is>
          <t>Materiales</t>
        </is>
      </c>
      <c r="D235" t="inlineStr">
        <is>
          <t>Unidad</t>
        </is>
      </c>
      <c r="E235" t="inlineStr">
        <is>
          <t>CDS</t>
        </is>
      </c>
      <c r="F235" t="n">
        <v>0</v>
      </c>
      <c r="G235" t="n">
        <v>0</v>
      </c>
      <c r="H235" t="n">
        <v>0</v>
      </c>
      <c r="I235" t="n">
        <v>0</v>
      </c>
      <c r="J235" t="n">
        <v>0</v>
      </c>
      <c r="K235" t="n">
        <v>0</v>
      </c>
      <c r="L235" t="n">
        <v>0</v>
      </c>
      <c r="M235">
        <f>F235+G235+H235+K235-I235-J235-L235</f>
        <v/>
      </c>
      <c r="N235" t="inlineStr">
        <is>
          <t>NO APLICA</t>
        </is>
      </c>
      <c r="O235" t="n">
        <v>5</v>
      </c>
      <c r="P235">
        <f>IF(M235&lt;0, "ERROR: SOBREGIRO", IF(M235=0, "SIN EXISTENCIAS", IF(M235&lt;=O235, "STOCK BAJO", "STOCK NORMAL")))</f>
        <v/>
      </c>
    </row>
    <row r="236">
      <c r="A236" t="n">
        <v>7383</v>
      </c>
      <c r="B236" t="inlineStr">
        <is>
          <t>MENSULA CANAL SENCILLO 50CM</t>
        </is>
      </c>
      <c r="C236" t="inlineStr">
        <is>
          <t>Materiales</t>
        </is>
      </c>
      <c r="D236" t="inlineStr">
        <is>
          <t>Unidad</t>
        </is>
      </c>
      <c r="E236" t="inlineStr">
        <is>
          <t>CDS</t>
        </is>
      </c>
      <c r="F236" t="n">
        <v>0</v>
      </c>
      <c r="G236" t="n">
        <v>0</v>
      </c>
      <c r="H236" t="n">
        <v>0</v>
      </c>
      <c r="I236" t="n">
        <v>0</v>
      </c>
      <c r="J236" t="n">
        <v>0</v>
      </c>
      <c r="K236" t="n">
        <v>0</v>
      </c>
      <c r="L236" t="n">
        <v>0</v>
      </c>
      <c r="M236">
        <f>F236+G236+H236+K236-I236-J236-L236</f>
        <v/>
      </c>
      <c r="N236" t="inlineStr">
        <is>
          <t>NO APLICA</t>
        </is>
      </c>
      <c r="O236" t="n">
        <v>5</v>
      </c>
      <c r="P236">
        <f>IF(M236&lt;0, "ERROR: SOBREGIRO", IF(M236=0, "SIN EXISTENCIAS", IF(M236&lt;=O236, "STOCK BAJO", "STOCK NORMAL")))</f>
        <v/>
      </c>
    </row>
    <row r="237">
      <c r="A237" t="n">
        <v>7384</v>
      </c>
      <c r="B237" t="inlineStr">
        <is>
          <t>PLATINA EN ELE CUATRO PERFORACIONES GALVANIZADA EN CALIENTE</t>
        </is>
      </c>
      <c r="C237" t="inlineStr">
        <is>
          <t>Materiales</t>
        </is>
      </c>
      <c r="D237" t="inlineStr">
        <is>
          <t>Unidad</t>
        </is>
      </c>
      <c r="E237" t="inlineStr">
        <is>
          <t>CDS</t>
        </is>
      </c>
      <c r="F237" t="n">
        <v>0</v>
      </c>
      <c r="G237" t="n">
        <v>0</v>
      </c>
      <c r="H237" t="n">
        <v>0</v>
      </c>
      <c r="I237" t="n">
        <v>0</v>
      </c>
      <c r="J237" t="n">
        <v>0</v>
      </c>
      <c r="K237" t="n">
        <v>0</v>
      </c>
      <c r="L237" t="n">
        <v>0</v>
      </c>
      <c r="M237">
        <f>F237+G237+H237+K237-I237-J237-L237</f>
        <v/>
      </c>
      <c r="N237" t="inlineStr">
        <is>
          <t>NO APLICA</t>
        </is>
      </c>
      <c r="O237" t="n">
        <v>5</v>
      </c>
      <c r="P237">
        <f>IF(M237&lt;0, "ERROR: SOBREGIRO", IF(M237=0, "SIN EXISTENCIAS", IF(M237&lt;=O237, "STOCK BAJO", "STOCK NORMAL")))</f>
        <v/>
      </c>
    </row>
    <row r="238">
      <c r="A238" t="n">
        <v>7385</v>
      </c>
      <c r="B238" t="inlineStr">
        <is>
          <t>PLATINA EN ELE DOS PERFORACIONES GALVANIZADA EN CALIENTE</t>
        </is>
      </c>
      <c r="C238" t="inlineStr">
        <is>
          <t>Materiales</t>
        </is>
      </c>
      <c r="D238" t="inlineStr">
        <is>
          <t>Unidad</t>
        </is>
      </c>
      <c r="E238" t="inlineStr">
        <is>
          <t>CDS</t>
        </is>
      </c>
      <c r="F238" t="n">
        <v>0</v>
      </c>
      <c r="G238" t="n">
        <v>0</v>
      </c>
      <c r="H238" t="n">
        <v>0</v>
      </c>
      <c r="I238" t="n">
        <v>0</v>
      </c>
      <c r="J238" t="n">
        <v>0</v>
      </c>
      <c r="K238" t="n">
        <v>0</v>
      </c>
      <c r="L238" t="n">
        <v>0</v>
      </c>
      <c r="M238">
        <f>F238+G238+H238+K238-I238-J238-L238</f>
        <v/>
      </c>
      <c r="N238" t="inlineStr">
        <is>
          <t>NO APLICA</t>
        </is>
      </c>
      <c r="O238" t="n">
        <v>5</v>
      </c>
      <c r="P238">
        <f>IF(M238&lt;0, "ERROR: SOBREGIRO", IF(M238=0, "SIN EXISTENCIAS", IF(M238&lt;=O238, "STOCK BAJO", "STOCK NORMAL")))</f>
        <v/>
      </c>
    </row>
    <row r="239">
      <c r="A239" t="n">
        <v>7386</v>
      </c>
      <c r="B239" t="inlineStr">
        <is>
          <t>PLATINA RECTA CUATRO PERFORACIONES GALVANIZADA EN CALIENTE</t>
        </is>
      </c>
      <c r="C239" t="inlineStr">
        <is>
          <t>Materiales</t>
        </is>
      </c>
      <c r="D239" t="inlineStr">
        <is>
          <t>Unidad</t>
        </is>
      </c>
      <c r="E239" t="inlineStr">
        <is>
          <t>CDS</t>
        </is>
      </c>
      <c r="F239" t="n">
        <v>0</v>
      </c>
      <c r="G239" t="n">
        <v>0</v>
      </c>
      <c r="H239" t="n">
        <v>0</v>
      </c>
      <c r="I239" t="n">
        <v>0</v>
      </c>
      <c r="J239" t="n">
        <v>0</v>
      </c>
      <c r="K239" t="n">
        <v>0</v>
      </c>
      <c r="L239" t="n">
        <v>0</v>
      </c>
      <c r="M239">
        <f>F239+G239+H239+K239-I239-J239-L239</f>
        <v/>
      </c>
      <c r="N239" t="inlineStr">
        <is>
          <t>NO APLICA</t>
        </is>
      </c>
      <c r="O239" t="n">
        <v>5</v>
      </c>
      <c r="P239">
        <f>IF(M239&lt;0, "ERROR: SOBREGIRO", IF(M239=0, "SIN EXISTENCIAS", IF(M239&lt;=O239, "STOCK BAJO", "STOCK NORMAL")))</f>
        <v/>
      </c>
    </row>
    <row r="240">
      <c r="A240" t="n">
        <v>7388</v>
      </c>
      <c r="B240" t="inlineStr">
        <is>
          <t>PLATINA UNION BANDEJA GALVANIZADA EN CALIENTE</t>
        </is>
      </c>
      <c r="C240" t="inlineStr">
        <is>
          <t>Materiales</t>
        </is>
      </c>
      <c r="D240" t="inlineStr">
        <is>
          <t>Unidad</t>
        </is>
      </c>
      <c r="E240" t="inlineStr">
        <is>
          <t>CDS</t>
        </is>
      </c>
      <c r="F240" t="n">
        <v>0</v>
      </c>
      <c r="G240" t="n">
        <v>0</v>
      </c>
      <c r="H240" t="n">
        <v>0</v>
      </c>
      <c r="I240" t="n">
        <v>0</v>
      </c>
      <c r="J240" t="n">
        <v>0</v>
      </c>
      <c r="K240" t="n">
        <v>0</v>
      </c>
      <c r="L240" t="n">
        <v>0</v>
      </c>
      <c r="M240">
        <f>F240+G240+H240+K240-I240-J240-L240</f>
        <v/>
      </c>
      <c r="N240" t="inlineStr">
        <is>
          <t>NO APLICA</t>
        </is>
      </c>
      <c r="O240" t="n">
        <v>5</v>
      </c>
      <c r="P240">
        <f>IF(M240&lt;0, "ERROR: SOBREGIRO", IF(M240=0, "SIN EXISTENCIAS", IF(M240&lt;=O240, "STOCK BAJO", "STOCK NORMAL")))</f>
        <v/>
      </c>
    </row>
    <row r="241">
      <c r="A241" t="n">
        <v>7403</v>
      </c>
      <c r="B241" t="inlineStr">
        <is>
          <t>REDUCCION BANDEJA SIMETRICA 30-20X8</t>
        </is>
      </c>
      <c r="C241" t="inlineStr">
        <is>
          <t>Materiales</t>
        </is>
      </c>
      <c r="D241" t="inlineStr">
        <is>
          <t>Unidad</t>
        </is>
      </c>
      <c r="E241" t="inlineStr">
        <is>
          <t>CDS</t>
        </is>
      </c>
      <c r="F241" t="n">
        <v>0</v>
      </c>
      <c r="G241" t="n">
        <v>0</v>
      </c>
      <c r="H241" t="n">
        <v>0</v>
      </c>
      <c r="I241" t="n">
        <v>0</v>
      </c>
      <c r="J241" t="n">
        <v>0</v>
      </c>
      <c r="K241" t="n">
        <v>0</v>
      </c>
      <c r="L241" t="n">
        <v>0</v>
      </c>
      <c r="M241">
        <f>F241+G241+H241+K241-I241-J241-L241</f>
        <v/>
      </c>
      <c r="N241" t="inlineStr">
        <is>
          <t>NO APLICA</t>
        </is>
      </c>
      <c r="O241" t="n">
        <v>5</v>
      </c>
      <c r="P241">
        <f>IF(M241&lt;0, "ERROR: SOBREGIRO", IF(M241=0, "SIN EXISTENCIAS", IF(M241&lt;=O241, "STOCK BAJO", "STOCK NORMAL")))</f>
        <v/>
      </c>
    </row>
    <row r="242">
      <c r="A242" t="n">
        <v>7405</v>
      </c>
      <c r="B242" t="inlineStr">
        <is>
          <t>REDUCCION BANDEJA SIMETRICA 40-30X8</t>
        </is>
      </c>
      <c r="C242" t="inlineStr">
        <is>
          <t>Materiales</t>
        </is>
      </c>
      <c r="D242" t="inlineStr">
        <is>
          <t>Unidad</t>
        </is>
      </c>
      <c r="E242" t="inlineStr">
        <is>
          <t>CDS</t>
        </is>
      </c>
      <c r="F242" t="n">
        <v>0</v>
      </c>
      <c r="G242" t="n">
        <v>0</v>
      </c>
      <c r="H242" t="n">
        <v>0</v>
      </c>
      <c r="I242" t="n">
        <v>0</v>
      </c>
      <c r="J242" t="n">
        <v>0</v>
      </c>
      <c r="K242" t="n">
        <v>0</v>
      </c>
      <c r="L242" t="n">
        <v>0</v>
      </c>
      <c r="M242">
        <f>F242+G242+H242+K242-I242-J242-L242</f>
        <v/>
      </c>
      <c r="N242" t="inlineStr">
        <is>
          <t>NO APLICA</t>
        </is>
      </c>
      <c r="O242" t="n">
        <v>5</v>
      </c>
      <c r="P242">
        <f>IF(M242&lt;0, "ERROR: SOBREGIRO", IF(M242=0, "SIN EXISTENCIAS", IF(M242&lt;=O242, "STOCK BAJO", "STOCK NORMAL")))</f>
        <v/>
      </c>
    </row>
    <row r="243">
      <c r="A243" t="n">
        <v>7408</v>
      </c>
      <c r="B243" t="inlineStr">
        <is>
          <t>RIEL RANURADO 4X2 GALVANIZADO EN CALIENTE</t>
        </is>
      </c>
      <c r="C243" t="inlineStr">
        <is>
          <t>Materiales</t>
        </is>
      </c>
      <c r="D243" t="inlineStr">
        <is>
          <t>Unidad</t>
        </is>
      </c>
      <c r="E243" t="inlineStr">
        <is>
          <t>CDS</t>
        </is>
      </c>
      <c r="F243" t="n">
        <v>0</v>
      </c>
      <c r="G243" t="n">
        <v>0</v>
      </c>
      <c r="H243" t="n">
        <v>0</v>
      </c>
      <c r="I243" t="n">
        <v>0</v>
      </c>
      <c r="J243" t="n">
        <v>0</v>
      </c>
      <c r="K243" t="n">
        <v>0</v>
      </c>
      <c r="L243" t="n">
        <v>0</v>
      </c>
      <c r="M243">
        <f>F243+G243+H243+K243-I243-J243-L243</f>
        <v/>
      </c>
      <c r="N243" t="inlineStr">
        <is>
          <t>NO APLICA</t>
        </is>
      </c>
      <c r="O243" t="n">
        <v>5</v>
      </c>
      <c r="P243">
        <f>IF(M243&lt;0, "ERROR: SOBREGIRO", IF(M243=0, "SIN EXISTENCIAS", IF(M243&lt;=O243, "STOCK BAJO", "STOCK NORMAL")))</f>
        <v/>
      </c>
    </row>
    <row r="244">
      <c r="A244" t="n">
        <v>7409</v>
      </c>
      <c r="B244" t="inlineStr">
        <is>
          <t>RIEL RANURADO 4X4 GALVANIZADO EN CALIENTE</t>
        </is>
      </c>
      <c r="C244" t="inlineStr">
        <is>
          <t>Materiales</t>
        </is>
      </c>
      <c r="D244" t="inlineStr">
        <is>
          <t>Unidad</t>
        </is>
      </c>
      <c r="E244" t="inlineStr">
        <is>
          <t>CDS</t>
        </is>
      </c>
      <c r="F244" t="n">
        <v>0</v>
      </c>
      <c r="G244" t="n">
        <v>0</v>
      </c>
      <c r="H244" t="n">
        <v>0</v>
      </c>
      <c r="I244" t="n">
        <v>0</v>
      </c>
      <c r="J244" t="n">
        <v>0</v>
      </c>
      <c r="K244" t="n">
        <v>0</v>
      </c>
      <c r="L244" t="n">
        <v>0</v>
      </c>
      <c r="M244">
        <f>F244+G244+H244+K244-I244-J244-L244</f>
        <v/>
      </c>
      <c r="N244" t="inlineStr">
        <is>
          <t>NO APLICA</t>
        </is>
      </c>
      <c r="O244" t="n">
        <v>5</v>
      </c>
      <c r="P244">
        <f>IF(M244&lt;0, "ERROR: SOBREGIRO", IF(M244=0, "SIN EXISTENCIAS", IF(M244&lt;=O244, "STOCK BAJO", "STOCK NORMAL")))</f>
        <v/>
      </c>
    </row>
    <row r="245">
      <c r="A245" t="n">
        <v>7415</v>
      </c>
      <c r="B245" t="inlineStr">
        <is>
          <t>TAPA SUPERIOR BANDEJA ESCALERA 10 POLIESTER</t>
        </is>
      </c>
      <c r="C245" t="inlineStr">
        <is>
          <t>Materiales</t>
        </is>
      </c>
      <c r="D245" t="inlineStr">
        <is>
          <t>Unidad</t>
        </is>
      </c>
      <c r="E245" t="inlineStr">
        <is>
          <t>CDS</t>
        </is>
      </c>
      <c r="F245" t="n">
        <v>0</v>
      </c>
      <c r="G245" t="n">
        <v>0</v>
      </c>
      <c r="H245" t="n">
        <v>0</v>
      </c>
      <c r="I245" t="n">
        <v>0</v>
      </c>
      <c r="J245" t="n">
        <v>0</v>
      </c>
      <c r="K245" t="n">
        <v>0</v>
      </c>
      <c r="L245" t="n">
        <v>0</v>
      </c>
      <c r="M245">
        <f>F245+G245+H245+K245-I245-J245-L245</f>
        <v/>
      </c>
      <c r="N245" t="inlineStr">
        <is>
          <t>NO APLICA</t>
        </is>
      </c>
      <c r="O245" t="n">
        <v>5</v>
      </c>
      <c r="P245">
        <f>IF(M245&lt;0, "ERROR: SOBREGIRO", IF(M245=0, "SIN EXISTENCIAS", IF(M245&lt;=O245, "STOCK BAJO", "STOCK NORMAL")))</f>
        <v/>
      </c>
    </row>
    <row r="246">
      <c r="A246" t="n">
        <v>7439</v>
      </c>
      <c r="B246" t="inlineStr">
        <is>
          <t>TAPA SUPERIOR CURVA BANDEJA HORIZONTAL 90° 10 POLIESTER</t>
        </is>
      </c>
      <c r="C246" t="inlineStr">
        <is>
          <t>Materiales</t>
        </is>
      </c>
      <c r="D246" t="inlineStr">
        <is>
          <t>Unidad</t>
        </is>
      </c>
      <c r="E246" t="inlineStr">
        <is>
          <t>CDS</t>
        </is>
      </c>
      <c r="F246" t="n">
        <v>0</v>
      </c>
      <c r="G246" t="n">
        <v>0</v>
      </c>
      <c r="H246" t="n">
        <v>0</v>
      </c>
      <c r="I246" t="n">
        <v>0</v>
      </c>
      <c r="J246" t="n">
        <v>0</v>
      </c>
      <c r="K246" t="n">
        <v>0</v>
      </c>
      <c r="L246" t="n">
        <v>0</v>
      </c>
      <c r="M246">
        <f>F246+G246+H246+K246-I246-J246-L246</f>
        <v/>
      </c>
      <c r="N246" t="inlineStr">
        <is>
          <t>NO APLICA</t>
        </is>
      </c>
      <c r="O246" t="n">
        <v>5</v>
      </c>
      <c r="P246">
        <f>IF(M246&lt;0, "ERROR: SOBREGIRO", IF(M246=0, "SIN EXISTENCIAS", IF(M246&lt;=O246, "STOCK BAJO", "STOCK NORMAL")))</f>
        <v/>
      </c>
    </row>
    <row r="247">
      <c r="A247" t="n">
        <v>7441</v>
      </c>
      <c r="B247" t="inlineStr">
        <is>
          <t>TAPA SUPERIOR CURVA BANDEJA HORIZONTAL 90° 20 POLIESTER</t>
        </is>
      </c>
      <c r="C247" t="inlineStr">
        <is>
          <t>Materiales</t>
        </is>
      </c>
      <c r="D247" t="inlineStr">
        <is>
          <t>Unidad</t>
        </is>
      </c>
      <c r="E247" t="inlineStr">
        <is>
          <t>CDS</t>
        </is>
      </c>
      <c r="F247" t="n">
        <v>0</v>
      </c>
      <c r="G247" t="n">
        <v>0</v>
      </c>
      <c r="H247" t="n">
        <v>0</v>
      </c>
      <c r="I247" t="n">
        <v>0</v>
      </c>
      <c r="J247" t="n">
        <v>0</v>
      </c>
      <c r="K247" t="n">
        <v>0</v>
      </c>
      <c r="L247" t="n">
        <v>0</v>
      </c>
      <c r="M247">
        <f>F247+G247+H247+K247-I247-J247-L247</f>
        <v/>
      </c>
      <c r="N247" t="inlineStr">
        <is>
          <t>NO APLICA</t>
        </is>
      </c>
      <c r="O247" t="n">
        <v>5</v>
      </c>
      <c r="P247">
        <f>IF(M247&lt;0, "ERROR: SOBREGIRO", IF(M247=0, "SIN EXISTENCIAS", IF(M247&lt;=O247, "STOCK BAJO", "STOCK NORMAL")))</f>
        <v/>
      </c>
    </row>
    <row r="248">
      <c r="A248" t="n">
        <v>7443</v>
      </c>
      <c r="B248" t="inlineStr">
        <is>
          <t>TAPA SUPERIOR CURVA BANDEJA HORIZONTAL 90° 30 POLIESTER</t>
        </is>
      </c>
      <c r="C248" t="inlineStr">
        <is>
          <t>Materiales</t>
        </is>
      </c>
      <c r="D248" t="inlineStr">
        <is>
          <t>Unidad</t>
        </is>
      </c>
      <c r="E248" t="inlineStr">
        <is>
          <t>CDS</t>
        </is>
      </c>
      <c r="F248" t="n">
        <v>0</v>
      </c>
      <c r="G248" t="n">
        <v>0</v>
      </c>
      <c r="H248" t="n">
        <v>0</v>
      </c>
      <c r="I248" t="n">
        <v>0</v>
      </c>
      <c r="J248" t="n">
        <v>0</v>
      </c>
      <c r="K248" t="n">
        <v>0</v>
      </c>
      <c r="L248" t="n">
        <v>0</v>
      </c>
      <c r="M248">
        <f>F248+G248+H248+K248-I248-J248-L248</f>
        <v/>
      </c>
      <c r="N248" t="inlineStr">
        <is>
          <t>NO APLICA</t>
        </is>
      </c>
      <c r="O248" t="n">
        <v>5</v>
      </c>
      <c r="P248">
        <f>IF(M248&lt;0, "ERROR: SOBREGIRO", IF(M248=0, "SIN EXISTENCIAS", IF(M248&lt;=O248, "STOCK BAJO", "STOCK NORMAL")))</f>
        <v/>
      </c>
    </row>
    <row r="249">
      <c r="A249" t="n">
        <v>7445</v>
      </c>
      <c r="B249" t="inlineStr">
        <is>
          <t>TAPA SUPERIOR CURVA BANDEJA HORIZONTAL 90° 40 POLIESTER</t>
        </is>
      </c>
      <c r="C249" t="inlineStr">
        <is>
          <t>Materiales</t>
        </is>
      </c>
      <c r="D249" t="inlineStr">
        <is>
          <t>Unidad</t>
        </is>
      </c>
      <c r="E249" t="inlineStr">
        <is>
          <t>CDS</t>
        </is>
      </c>
      <c r="F249" t="n">
        <v>0</v>
      </c>
      <c r="G249" t="n">
        <v>0</v>
      </c>
      <c r="H249" t="n">
        <v>0</v>
      </c>
      <c r="I249" t="n">
        <v>0</v>
      </c>
      <c r="J249" t="n">
        <v>0</v>
      </c>
      <c r="K249" t="n">
        <v>0</v>
      </c>
      <c r="L249" t="n">
        <v>0</v>
      </c>
      <c r="M249">
        <f>F249+G249+H249+K249-I249-J249-L249</f>
        <v/>
      </c>
      <c r="N249" t="inlineStr">
        <is>
          <t>NO APLICA</t>
        </is>
      </c>
      <c r="O249" t="n">
        <v>5</v>
      </c>
      <c r="P249">
        <f>IF(M249&lt;0, "ERROR: SOBREGIRO", IF(M249=0, "SIN EXISTENCIAS", IF(M249&lt;=O249, "STOCK BAJO", "STOCK NORMAL")))</f>
        <v/>
      </c>
    </row>
    <row r="250">
      <c r="A250" t="n">
        <v>7455</v>
      </c>
      <c r="B250" t="inlineStr">
        <is>
          <t>TAPA SUPERIOR CURVA BANDEJA VERTICAL EXTERIOR 90° 10 POLIESTER</t>
        </is>
      </c>
      <c r="C250" t="inlineStr">
        <is>
          <t>Materiales</t>
        </is>
      </c>
      <c r="D250" t="inlineStr">
        <is>
          <t>Unidad</t>
        </is>
      </c>
      <c r="E250" t="inlineStr">
        <is>
          <t>CDS</t>
        </is>
      </c>
      <c r="F250" t="n">
        <v>0</v>
      </c>
      <c r="G250" t="n">
        <v>0</v>
      </c>
      <c r="H250" t="n">
        <v>0</v>
      </c>
      <c r="I250" t="n">
        <v>0</v>
      </c>
      <c r="J250" t="n">
        <v>0</v>
      </c>
      <c r="K250" t="n">
        <v>0</v>
      </c>
      <c r="L250" t="n">
        <v>0</v>
      </c>
      <c r="M250">
        <f>F250+G250+H250+K250-I250-J250-L250</f>
        <v/>
      </c>
      <c r="N250" t="inlineStr">
        <is>
          <t>NO APLICA</t>
        </is>
      </c>
      <c r="O250" t="n">
        <v>5</v>
      </c>
      <c r="P250">
        <f>IF(M250&lt;0, "ERROR: SOBREGIRO", IF(M250=0, "SIN EXISTENCIAS", IF(M250&lt;=O250, "STOCK BAJO", "STOCK NORMAL")))</f>
        <v/>
      </c>
    </row>
    <row r="251">
      <c r="A251" t="n">
        <v>7457</v>
      </c>
      <c r="B251" t="inlineStr">
        <is>
          <t>TAPA SUPERIOR CURVA BANDEJA VERTICAL EXTERIOR 90° 20 POLIESTER</t>
        </is>
      </c>
      <c r="C251" t="inlineStr">
        <is>
          <t>Materiales</t>
        </is>
      </c>
      <c r="D251" t="inlineStr">
        <is>
          <t>Unidad</t>
        </is>
      </c>
      <c r="E251" t="inlineStr">
        <is>
          <t>CDS</t>
        </is>
      </c>
      <c r="F251" t="n">
        <v>0</v>
      </c>
      <c r="G251" t="n">
        <v>0</v>
      </c>
      <c r="H251" t="n">
        <v>0</v>
      </c>
      <c r="I251" t="n">
        <v>0</v>
      </c>
      <c r="J251" t="n">
        <v>0</v>
      </c>
      <c r="K251" t="n">
        <v>0</v>
      </c>
      <c r="L251" t="n">
        <v>0</v>
      </c>
      <c r="M251">
        <f>F251+G251+H251+K251-I251-J251-L251</f>
        <v/>
      </c>
      <c r="N251" t="inlineStr">
        <is>
          <t>NO APLICA</t>
        </is>
      </c>
      <c r="O251" t="n">
        <v>5</v>
      </c>
      <c r="P251">
        <f>IF(M251&lt;0, "ERROR: SOBREGIRO", IF(M251=0, "SIN EXISTENCIAS", IF(M251&lt;=O251, "STOCK BAJO", "STOCK NORMAL")))</f>
        <v/>
      </c>
    </row>
    <row r="252">
      <c r="A252" t="n">
        <v>7461</v>
      </c>
      <c r="B252" t="inlineStr">
        <is>
          <t>TAPA SUPERIOR CURVA BANDEJA VERTICAL EXTERIOR 90° 40 POLIESTER</t>
        </is>
      </c>
      <c r="C252" t="inlineStr">
        <is>
          <t>Materiales</t>
        </is>
      </c>
      <c r="D252" t="inlineStr">
        <is>
          <t>Unidad</t>
        </is>
      </c>
      <c r="E252" t="inlineStr">
        <is>
          <t>CDS</t>
        </is>
      </c>
      <c r="F252" t="n">
        <v>0</v>
      </c>
      <c r="G252" t="n">
        <v>0</v>
      </c>
      <c r="H252" t="n">
        <v>0</v>
      </c>
      <c r="I252" t="n">
        <v>0</v>
      </c>
      <c r="J252" t="n">
        <v>0</v>
      </c>
      <c r="K252" t="n">
        <v>0</v>
      </c>
      <c r="L252" t="n">
        <v>0</v>
      </c>
      <c r="M252">
        <f>F252+G252+H252+K252-I252-J252-L252</f>
        <v/>
      </c>
      <c r="N252" t="inlineStr">
        <is>
          <t>NO APLICA</t>
        </is>
      </c>
      <c r="O252" t="n">
        <v>5</v>
      </c>
      <c r="P252">
        <f>IF(M252&lt;0, "ERROR: SOBREGIRO", IF(M252=0, "SIN EXISTENCIAS", IF(M252&lt;=O252, "STOCK BAJO", "STOCK NORMAL")))</f>
        <v/>
      </c>
    </row>
    <row r="253">
      <c r="A253" t="n">
        <v>7471</v>
      </c>
      <c r="B253" t="inlineStr">
        <is>
          <t>TAPA SUPERIOR CURVA BANDEJA VERTICAL INTERIOR 90° 10 POLIESTER</t>
        </is>
      </c>
      <c r="C253" t="inlineStr">
        <is>
          <t>Materiales</t>
        </is>
      </c>
      <c r="D253" t="inlineStr">
        <is>
          <t>Unidad</t>
        </is>
      </c>
      <c r="E253" t="inlineStr">
        <is>
          <t>CDS</t>
        </is>
      </c>
      <c r="F253" t="n">
        <v>0</v>
      </c>
      <c r="G253" t="n">
        <v>0</v>
      </c>
      <c r="H253" t="n">
        <v>0</v>
      </c>
      <c r="I253" t="n">
        <v>0</v>
      </c>
      <c r="J253" t="n">
        <v>0</v>
      </c>
      <c r="K253" t="n">
        <v>0</v>
      </c>
      <c r="L253" t="n">
        <v>0</v>
      </c>
      <c r="M253">
        <f>F253+G253+H253+K253-I253-J253-L253</f>
        <v/>
      </c>
      <c r="N253" t="inlineStr">
        <is>
          <t>NO APLICA</t>
        </is>
      </c>
      <c r="O253" t="n">
        <v>5</v>
      </c>
      <c r="P253">
        <f>IF(M253&lt;0, "ERROR: SOBREGIRO", IF(M253=0, "SIN EXISTENCIAS", IF(M253&lt;=O253, "STOCK BAJO", "STOCK NORMAL")))</f>
        <v/>
      </c>
    </row>
    <row r="254">
      <c r="A254" t="n">
        <v>7495</v>
      </c>
      <c r="B254" t="inlineStr">
        <is>
          <t>AEROSOL ANTICORROSIVO GALVANIZADO 20 OZ RUST OLEUM</t>
        </is>
      </c>
      <c r="C254" t="inlineStr">
        <is>
          <t>Consumibles</t>
        </is>
      </c>
      <c r="D254" t="inlineStr">
        <is>
          <t>Unidad</t>
        </is>
      </c>
      <c r="E254" t="inlineStr">
        <is>
          <t>CDS</t>
        </is>
      </c>
      <c r="F254" t="n">
        <v>23</v>
      </c>
      <c r="G254" t="n">
        <v>0</v>
      </c>
      <c r="H254" t="n">
        <v>0</v>
      </c>
      <c r="I254" t="n">
        <v>0</v>
      </c>
      <c r="J254" t="n">
        <v>0</v>
      </c>
      <c r="K254" t="n">
        <v>0</v>
      </c>
      <c r="L254" t="n">
        <v>0</v>
      </c>
      <c r="M254">
        <f>F254+G254+H254+K254-I254-J254-L254</f>
        <v/>
      </c>
      <c r="N254" t="inlineStr">
        <is>
          <t>NO APLICA</t>
        </is>
      </c>
      <c r="O254" t="n">
        <v>5</v>
      </c>
      <c r="P254">
        <f>IF(M254&lt;0, "ERROR: SOBREGIRO", IF(M254=0, "SIN EXISTENCIAS", IF(M254&lt;=O254, "STOCK BAJO", "STOCK NORMAL")))</f>
        <v/>
      </c>
    </row>
    <row r="255">
      <c r="A255" t="n">
        <v>7497</v>
      </c>
      <c r="B255" t="inlineStr">
        <is>
          <t>AEROSOL AZUL 12 OZ RUST OLEUM</t>
        </is>
      </c>
      <c r="C255" t="inlineStr">
        <is>
          <t>Consumibles</t>
        </is>
      </c>
      <c r="D255" t="inlineStr">
        <is>
          <t>Unidad</t>
        </is>
      </c>
      <c r="E255" t="inlineStr">
        <is>
          <t>CDS</t>
        </is>
      </c>
      <c r="F255" t="n">
        <v>14</v>
      </c>
      <c r="G255" t="n">
        <v>0</v>
      </c>
      <c r="H255" t="n">
        <v>0</v>
      </c>
      <c r="I255" t="n">
        <v>0</v>
      </c>
      <c r="J255" t="n">
        <v>0</v>
      </c>
      <c r="K255" t="n">
        <v>0</v>
      </c>
      <c r="L255" t="n">
        <v>0</v>
      </c>
      <c r="M255">
        <f>F255+G255+H255+K255-I255-J255-L255</f>
        <v/>
      </c>
      <c r="N255" t="inlineStr">
        <is>
          <t>NO APLICA</t>
        </is>
      </c>
      <c r="O255" t="n">
        <v>5</v>
      </c>
      <c r="P255">
        <f>IF(M255&lt;0, "ERROR: SOBREGIRO", IF(M255=0, "SIN EXISTENCIAS", IF(M255&lt;=O255, "STOCK BAJO", "STOCK NORMAL")))</f>
        <v/>
      </c>
    </row>
    <row r="256">
      <c r="A256" t="n">
        <v>7498</v>
      </c>
      <c r="B256" t="inlineStr">
        <is>
          <t>AEROSOL DESENGRASANTE 500ML WEICON</t>
        </is>
      </c>
      <c r="C256" t="inlineStr">
        <is>
          <t>Consumibles</t>
        </is>
      </c>
      <c r="D256" t="inlineStr">
        <is>
          <t>Unidad</t>
        </is>
      </c>
      <c r="E256" t="inlineStr">
        <is>
          <t>CDS</t>
        </is>
      </c>
      <c r="F256" t="n">
        <v>29</v>
      </c>
      <c r="G256" t="n">
        <v>0</v>
      </c>
      <c r="H256" t="n">
        <v>0</v>
      </c>
      <c r="I256" t="n">
        <v>0</v>
      </c>
      <c r="J256" t="n">
        <v>0</v>
      </c>
      <c r="K256" t="n">
        <v>0</v>
      </c>
      <c r="L256" t="n">
        <v>0</v>
      </c>
      <c r="M256">
        <f>F256+G256+H256+K256-I256-J256-L256</f>
        <v/>
      </c>
      <c r="N256" t="inlineStr">
        <is>
          <t>NO APLICA</t>
        </is>
      </c>
      <c r="O256" t="n">
        <v>5</v>
      </c>
      <c r="P256">
        <f>IF(M256&lt;0, "ERROR: SOBREGIRO", IF(M256=0, "SIN EXISTENCIAS", IF(M256&lt;=O256, "STOCK BAJO", "STOCK NORMAL")))</f>
        <v/>
      </c>
    </row>
    <row r="257">
      <c r="A257" t="n">
        <v>7500</v>
      </c>
      <c r="B257" t="inlineStr">
        <is>
          <t>ESPUMA EXPANSIVA SIKA</t>
        </is>
      </c>
      <c r="C257" t="inlineStr">
        <is>
          <t>Consumibles</t>
        </is>
      </c>
      <c r="D257" t="inlineStr">
        <is>
          <t>Unidad</t>
        </is>
      </c>
      <c r="E257" t="inlineStr">
        <is>
          <t>CDS</t>
        </is>
      </c>
      <c r="F257" t="n">
        <v>19</v>
      </c>
      <c r="G257" t="n">
        <v>0</v>
      </c>
      <c r="H257" t="n">
        <v>0</v>
      </c>
      <c r="I257" t="n">
        <v>0</v>
      </c>
      <c r="J257" t="n">
        <v>0</v>
      </c>
      <c r="K257" t="n">
        <v>0</v>
      </c>
      <c r="L257" t="n">
        <v>0</v>
      </c>
      <c r="M257">
        <f>F257+G257+H257+K257-I257-J257-L257</f>
        <v/>
      </c>
      <c r="N257" t="inlineStr">
        <is>
          <t>APLICA</t>
        </is>
      </c>
      <c r="O257" t="n">
        <v>5</v>
      </c>
      <c r="P257">
        <f>IF(M257&lt;0, "ERROR: SOBREGIRO", IF(M257=0, "SIN EXISTENCIAS", IF(M257&lt;=O257, "STOCK BAJO", "STOCK NORMAL")))</f>
        <v/>
      </c>
    </row>
    <row r="258">
      <c r="A258" t="n">
        <v>7503</v>
      </c>
      <c r="B258" t="inlineStr">
        <is>
          <t>MANTO REAL ADHESIVO ROLLO 1MT X 10MT</t>
        </is>
      </c>
      <c r="C258" t="inlineStr">
        <is>
          <t>Materiales</t>
        </is>
      </c>
      <c r="D258" t="inlineStr">
        <is>
          <t>Rollo</t>
        </is>
      </c>
      <c r="E258" t="inlineStr">
        <is>
          <t>CDS</t>
        </is>
      </c>
      <c r="F258" t="n">
        <v>0</v>
      </c>
      <c r="G258" t="n">
        <v>0</v>
      </c>
      <c r="H258" t="n">
        <v>0</v>
      </c>
      <c r="I258" t="n">
        <v>0</v>
      </c>
      <c r="J258" t="n">
        <v>0</v>
      </c>
      <c r="K258" t="n">
        <v>0</v>
      </c>
      <c r="L258" t="n">
        <v>0</v>
      </c>
      <c r="M258">
        <f>F258+G258+H258+K258-I258-J258-L258</f>
        <v/>
      </c>
      <c r="N258" t="inlineStr">
        <is>
          <t>APLICA</t>
        </is>
      </c>
      <c r="O258" t="n">
        <v>5</v>
      </c>
      <c r="P258">
        <f>IF(M258&lt;0, "ERROR: SOBREGIRO", IF(M258=0, "SIN EXISTENCIAS", IF(M258&lt;=O258, "STOCK BAJO", "STOCK NORMAL")))</f>
        <v/>
      </c>
    </row>
    <row r="259">
      <c r="A259" t="n">
        <v>7508</v>
      </c>
      <c r="B259" t="inlineStr">
        <is>
          <t>SELLANTE ADHESIVO WEICON</t>
        </is>
      </c>
      <c r="C259" t="inlineStr">
        <is>
          <t>Materiales</t>
        </is>
      </c>
      <c r="D259" t="inlineStr">
        <is>
          <t>Unidad</t>
        </is>
      </c>
      <c r="E259" t="inlineStr">
        <is>
          <t>CDS</t>
        </is>
      </c>
      <c r="F259" t="n">
        <v>78</v>
      </c>
      <c r="G259" t="n">
        <v>0</v>
      </c>
      <c r="H259" t="n">
        <v>0</v>
      </c>
      <c r="I259" t="n">
        <v>0</v>
      </c>
      <c r="J259" t="n">
        <v>0</v>
      </c>
      <c r="K259" t="n">
        <v>0</v>
      </c>
      <c r="L259" t="n">
        <v>0</v>
      </c>
      <c r="M259">
        <f>F259+G259+H259+K259-I259-J259-L259</f>
        <v/>
      </c>
      <c r="N259" t="inlineStr">
        <is>
          <t>APLICA</t>
        </is>
      </c>
      <c r="O259" t="n">
        <v>5</v>
      </c>
      <c r="P259">
        <f>IF(M259&lt;0, "ERROR: SOBREGIRO", IF(M259=0, "SIN EXISTENCIAS", IF(M259&lt;=O259, "STOCK BAJO", "STOCK NORMAL")))</f>
        <v/>
      </c>
    </row>
    <row r="260">
      <c r="A260" t="n">
        <v>7535</v>
      </c>
      <c r="B260" t="inlineStr">
        <is>
          <t>ABRAZADERA AJUSTABLE (UNISTRUT) GALVANIZADA CALIENTE 1 1/2"</t>
        </is>
      </c>
      <c r="C260" t="inlineStr">
        <is>
          <t>Tornilleria</t>
        </is>
      </c>
      <c r="D260" t="inlineStr">
        <is>
          <t>Unidad</t>
        </is>
      </c>
      <c r="E260" t="inlineStr">
        <is>
          <t>CDS</t>
        </is>
      </c>
      <c r="F260" t="n">
        <v>9</v>
      </c>
      <c r="G260" t="n">
        <v>0</v>
      </c>
      <c r="H260" t="n">
        <v>0</v>
      </c>
      <c r="I260" t="n">
        <v>0</v>
      </c>
      <c r="J260" t="n">
        <v>0</v>
      </c>
      <c r="K260" t="n">
        <v>0</v>
      </c>
      <c r="L260" t="n">
        <v>0</v>
      </c>
      <c r="M260">
        <f>F260+G260+H260+K260-I260-J260-L260</f>
        <v/>
      </c>
      <c r="N260" t="inlineStr">
        <is>
          <t>NO APLICA</t>
        </is>
      </c>
      <c r="O260" t="n">
        <v>5</v>
      </c>
      <c r="P260">
        <f>IF(M260&lt;0, "ERROR: SOBREGIRO", IF(M260=0, "SIN EXISTENCIAS", IF(M260&lt;=O260, "STOCK BAJO", "STOCK NORMAL")))</f>
        <v/>
      </c>
    </row>
    <row r="261">
      <c r="A261" t="n">
        <v>7536</v>
      </c>
      <c r="B261" t="inlineStr">
        <is>
          <t>ABRAZADERA AJUSTABLE (UNISTRUT) GALVANIZADA CALIENTE 1 1/4"</t>
        </is>
      </c>
      <c r="C261" t="inlineStr">
        <is>
          <t>Tornilleria</t>
        </is>
      </c>
      <c r="D261" t="inlineStr">
        <is>
          <t>Unidad</t>
        </is>
      </c>
      <c r="E261" t="inlineStr">
        <is>
          <t>CDS</t>
        </is>
      </c>
      <c r="F261" t="n">
        <v>0</v>
      </c>
      <c r="G261" t="n">
        <v>0</v>
      </c>
      <c r="H261" t="n">
        <v>0</v>
      </c>
      <c r="I261" t="n">
        <v>0</v>
      </c>
      <c r="J261" t="n">
        <v>0</v>
      </c>
      <c r="K261" t="n">
        <v>0</v>
      </c>
      <c r="L261" t="n">
        <v>0</v>
      </c>
      <c r="M261">
        <f>F261+G261+H261+K261-I261-J261-L261</f>
        <v/>
      </c>
      <c r="N261" t="inlineStr">
        <is>
          <t>NO APLICA</t>
        </is>
      </c>
      <c r="O261" t="n">
        <v>5</v>
      </c>
      <c r="P261">
        <f>IF(M261&lt;0, "ERROR: SOBREGIRO", IF(M261=0, "SIN EXISTENCIAS", IF(M261&lt;=O261, "STOCK BAJO", "STOCK NORMAL")))</f>
        <v/>
      </c>
    </row>
    <row r="262">
      <c r="A262" t="n">
        <v>7537</v>
      </c>
      <c r="B262" t="inlineStr">
        <is>
          <t>ABRAZADERA AJUSTABLE (UNISTRUT) GALVANIZADA CALIENTE 1"</t>
        </is>
      </c>
      <c r="C262" t="inlineStr">
        <is>
          <t>Tornilleria</t>
        </is>
      </c>
      <c r="D262" t="inlineStr">
        <is>
          <t>Unidad</t>
        </is>
      </c>
      <c r="E262" t="inlineStr">
        <is>
          <t>CDS</t>
        </is>
      </c>
      <c r="F262" t="n">
        <v>2</v>
      </c>
      <c r="G262" t="n">
        <v>0</v>
      </c>
      <c r="H262" t="n">
        <v>0</v>
      </c>
      <c r="I262" t="n">
        <v>0</v>
      </c>
      <c r="J262" t="n">
        <v>0</v>
      </c>
      <c r="K262" t="n">
        <v>0</v>
      </c>
      <c r="L262" t="n">
        <v>0</v>
      </c>
      <c r="M262">
        <f>F262+G262+H262+K262-I262-J262-L262</f>
        <v/>
      </c>
      <c r="N262" t="inlineStr">
        <is>
          <t>NO APLICA</t>
        </is>
      </c>
      <c r="O262" t="n">
        <v>5</v>
      </c>
      <c r="P262">
        <f>IF(M262&lt;0, "ERROR: SOBREGIRO", IF(M262=0, "SIN EXISTENCIAS", IF(M262&lt;=O262, "STOCK BAJO", "STOCK NORMAL")))</f>
        <v/>
      </c>
    </row>
    <row r="263">
      <c r="A263" t="n">
        <v>7540</v>
      </c>
      <c r="B263" t="inlineStr">
        <is>
          <t>ABRAZADERA AJUSTABLE (UNISTRUT) GALVANIZADA CALIENTE 2"</t>
        </is>
      </c>
      <c r="C263" t="inlineStr">
        <is>
          <t>Tornilleria</t>
        </is>
      </c>
      <c r="D263" t="inlineStr">
        <is>
          <t>Unidad</t>
        </is>
      </c>
      <c r="E263" t="inlineStr">
        <is>
          <t>CDS</t>
        </is>
      </c>
      <c r="F263" t="n">
        <v>7</v>
      </c>
      <c r="G263" t="n">
        <v>0</v>
      </c>
      <c r="H263" t="n">
        <v>0</v>
      </c>
      <c r="I263" t="n">
        <v>0</v>
      </c>
      <c r="J263" t="n">
        <v>0</v>
      </c>
      <c r="K263" t="n">
        <v>0</v>
      </c>
      <c r="L263" t="n">
        <v>0</v>
      </c>
      <c r="M263">
        <f>F263+G263+H263+K263-I263-J263-L263</f>
        <v/>
      </c>
      <c r="N263" t="inlineStr">
        <is>
          <t>NO APLICA</t>
        </is>
      </c>
      <c r="O263" t="n">
        <v>5</v>
      </c>
      <c r="P263">
        <f>IF(M263&lt;0, "ERROR: SOBREGIRO", IF(M263=0, "SIN EXISTENCIAS", IF(M263&lt;=O263, "STOCK BAJO", "STOCK NORMAL")))</f>
        <v/>
      </c>
    </row>
    <row r="264">
      <c r="A264" t="n">
        <v>7541</v>
      </c>
      <c r="B264" t="inlineStr">
        <is>
          <t>ABRAZADERA AJUSTABLE (UNISTRUT) GALVANIZADA CALIENTE 3/4"</t>
        </is>
      </c>
      <c r="C264" t="inlineStr">
        <is>
          <t>Tornilleria</t>
        </is>
      </c>
      <c r="D264" t="inlineStr">
        <is>
          <t>Unidad</t>
        </is>
      </c>
      <c r="E264" t="inlineStr">
        <is>
          <t>CDS</t>
        </is>
      </c>
      <c r="F264" t="n">
        <v>3</v>
      </c>
      <c r="G264" t="n">
        <v>0</v>
      </c>
      <c r="H264" t="n">
        <v>0</v>
      </c>
      <c r="I264" t="n">
        <v>0</v>
      </c>
      <c r="J264" t="n">
        <v>0</v>
      </c>
      <c r="K264" t="n">
        <v>0</v>
      </c>
      <c r="L264" t="n">
        <v>0</v>
      </c>
      <c r="M264">
        <f>F264+G264+H264+K264-I264-J264-L264</f>
        <v/>
      </c>
      <c r="N264" t="inlineStr">
        <is>
          <t>NO APLICA</t>
        </is>
      </c>
      <c r="O264" t="n">
        <v>5</v>
      </c>
      <c r="P264">
        <f>IF(M264&lt;0, "ERROR: SOBREGIRO", IF(M264=0, "SIN EXISTENCIAS", IF(M264&lt;=O264, "STOCK BAJO", "STOCK NORMAL")))</f>
        <v/>
      </c>
    </row>
    <row r="265">
      <c r="A265" t="n">
        <v>7542</v>
      </c>
      <c r="B265" t="inlineStr">
        <is>
          <t>ABRAZADERA AJUSTABLE (UNISTRUT) INTERIOR 1 1/2"</t>
        </is>
      </c>
      <c r="C265" t="inlineStr">
        <is>
          <t>Tornilleria</t>
        </is>
      </c>
      <c r="D265" t="inlineStr">
        <is>
          <t>Unidad</t>
        </is>
      </c>
      <c r="E265" t="inlineStr">
        <is>
          <t>CDS</t>
        </is>
      </c>
      <c r="F265" t="n">
        <v>22</v>
      </c>
      <c r="G265" t="n">
        <v>0</v>
      </c>
      <c r="H265" t="n">
        <v>0</v>
      </c>
      <c r="I265" t="n">
        <v>0</v>
      </c>
      <c r="J265" t="n">
        <v>0</v>
      </c>
      <c r="K265" t="n">
        <v>0</v>
      </c>
      <c r="L265" t="n">
        <v>0</v>
      </c>
      <c r="M265">
        <f>F265+G265+H265+K265-I265-J265-L265</f>
        <v/>
      </c>
      <c r="N265" t="inlineStr">
        <is>
          <t>NO APLICA</t>
        </is>
      </c>
      <c r="O265" t="n">
        <v>5</v>
      </c>
      <c r="P265">
        <f>IF(M265&lt;0, "ERROR: SOBREGIRO", IF(M265=0, "SIN EXISTENCIAS", IF(M265&lt;=O265, "STOCK BAJO", "STOCK NORMAL")))</f>
        <v/>
      </c>
    </row>
    <row r="266">
      <c r="A266" t="n">
        <v>7544</v>
      </c>
      <c r="B266" t="inlineStr">
        <is>
          <t>ABRAZADERA AJUSTABLE (UNISTRUT) INTERIOR 1"</t>
        </is>
      </c>
      <c r="C266" t="inlineStr">
        <is>
          <t>Tornilleria</t>
        </is>
      </c>
      <c r="D266" t="inlineStr">
        <is>
          <t>Unidad</t>
        </is>
      </c>
      <c r="E266" t="inlineStr">
        <is>
          <t>CDS</t>
        </is>
      </c>
      <c r="F266" t="n">
        <v>103</v>
      </c>
      <c r="G266" t="n">
        <v>0</v>
      </c>
      <c r="H266" t="n">
        <v>0</v>
      </c>
      <c r="I266" t="n">
        <v>0</v>
      </c>
      <c r="J266" t="n">
        <v>0</v>
      </c>
      <c r="K266" t="n">
        <v>0</v>
      </c>
      <c r="L266" t="n">
        <v>0</v>
      </c>
      <c r="M266">
        <f>F266+G266+H266+K266-I266-J266-L266</f>
        <v/>
      </c>
      <c r="N266" t="inlineStr">
        <is>
          <t>NO APLICA</t>
        </is>
      </c>
      <c r="O266" t="n">
        <v>5</v>
      </c>
      <c r="P266">
        <f>IF(M266&lt;0, "ERROR: SOBREGIRO", IF(M266=0, "SIN EXISTENCIAS", IF(M266&lt;=O266, "STOCK BAJO", "STOCK NORMAL")))</f>
        <v/>
      </c>
    </row>
    <row r="267">
      <c r="A267" t="n">
        <v>7545</v>
      </c>
      <c r="B267" t="inlineStr">
        <is>
          <t>ABRAZADERA AJUSTABLE (UNISTRUT) INTERIOR 1/2"</t>
        </is>
      </c>
      <c r="C267" t="inlineStr">
        <is>
          <t>Tornilleria</t>
        </is>
      </c>
      <c r="D267" t="inlineStr">
        <is>
          <t>Unidad</t>
        </is>
      </c>
      <c r="E267" t="inlineStr">
        <is>
          <t>CDS</t>
        </is>
      </c>
      <c r="F267" t="n">
        <v>12</v>
      </c>
      <c r="G267" t="n">
        <v>0</v>
      </c>
      <c r="H267" t="n">
        <v>0</v>
      </c>
      <c r="I267" t="n">
        <v>0</v>
      </c>
      <c r="J267" t="n">
        <v>0</v>
      </c>
      <c r="K267" t="n">
        <v>0</v>
      </c>
      <c r="L267" t="n">
        <v>0</v>
      </c>
      <c r="M267">
        <f>F267+G267+H267+K267-I267-J267-L267</f>
        <v/>
      </c>
      <c r="N267" t="inlineStr">
        <is>
          <t>NO APLICA</t>
        </is>
      </c>
      <c r="O267" t="n">
        <v>5</v>
      </c>
      <c r="P267">
        <f>IF(M267&lt;0, "ERROR: SOBREGIRO", IF(M267=0, "SIN EXISTENCIAS", IF(M267&lt;=O267, "STOCK BAJO", "STOCK NORMAL")))</f>
        <v/>
      </c>
    </row>
    <row r="268">
      <c r="A268" t="n">
        <v>7547</v>
      </c>
      <c r="B268" t="inlineStr">
        <is>
          <t>ABRAZADERA AJUSTABLE (UNISTRUT) INTERIOR 2"</t>
        </is>
      </c>
      <c r="C268" t="inlineStr">
        <is>
          <t>Tornilleria</t>
        </is>
      </c>
      <c r="D268" t="inlineStr">
        <is>
          <t>Unidad</t>
        </is>
      </c>
      <c r="E268" t="inlineStr">
        <is>
          <t>CDS</t>
        </is>
      </c>
      <c r="F268" t="n">
        <v>36</v>
      </c>
      <c r="G268" t="n">
        <v>0</v>
      </c>
      <c r="H268" t="n">
        <v>0</v>
      </c>
      <c r="I268" t="n">
        <v>0</v>
      </c>
      <c r="J268" t="n">
        <v>0</v>
      </c>
      <c r="K268" t="n">
        <v>0</v>
      </c>
      <c r="L268" t="n">
        <v>0</v>
      </c>
      <c r="M268">
        <f>F268+G268+H268+K268-I268-J268-L268</f>
        <v/>
      </c>
      <c r="N268" t="inlineStr">
        <is>
          <t>NO APLICA</t>
        </is>
      </c>
      <c r="O268" t="n">
        <v>5</v>
      </c>
      <c r="P268">
        <f>IF(M268&lt;0, "ERROR: SOBREGIRO", IF(M268=0, "SIN EXISTENCIAS", IF(M268&lt;=O268, "STOCK BAJO", "STOCK NORMAL")))</f>
        <v/>
      </c>
    </row>
    <row r="269">
      <c r="A269" t="n">
        <v>7548</v>
      </c>
      <c r="B269" t="inlineStr">
        <is>
          <t>ABRAZADERA AJUSTABLE (UNISTRUT) INTERIOR 3/4"</t>
        </is>
      </c>
      <c r="C269" t="inlineStr">
        <is>
          <t>Tornilleria</t>
        </is>
      </c>
      <c r="D269" t="inlineStr">
        <is>
          <t>Unidad</t>
        </is>
      </c>
      <c r="E269" t="inlineStr">
        <is>
          <t>CDS</t>
        </is>
      </c>
      <c r="F269" t="n">
        <v>37</v>
      </c>
      <c r="G269" t="n">
        <v>0</v>
      </c>
      <c r="H269" t="n">
        <v>0</v>
      </c>
      <c r="I269" t="n">
        <v>0</v>
      </c>
      <c r="J269" t="n">
        <v>0</v>
      </c>
      <c r="K269" t="n">
        <v>0</v>
      </c>
      <c r="L269" t="n">
        <v>0</v>
      </c>
      <c r="M269">
        <f>F269+G269+H269+K269-I269-J269-L269</f>
        <v/>
      </c>
      <c r="N269" t="inlineStr">
        <is>
          <t>NO APLICA</t>
        </is>
      </c>
      <c r="O269" t="n">
        <v>5</v>
      </c>
      <c r="P269">
        <f>IF(M269&lt;0, "ERROR: SOBREGIRO", IF(M269=0, "SIN EXISTENCIAS", IF(M269&lt;=O269, "STOCK BAJO", "STOCK NORMAL")))</f>
        <v/>
      </c>
    </row>
    <row r="270">
      <c r="A270" t="n">
        <v>7549</v>
      </c>
      <c r="B270" t="inlineStr">
        <is>
          <t>ABRAZADERA COLGANTE (IMC/CORAZA) PARA EXTERIOR 1 1/2"</t>
        </is>
      </c>
      <c r="C270" t="inlineStr">
        <is>
          <t>Tornilleria</t>
        </is>
      </c>
      <c r="D270" t="inlineStr">
        <is>
          <t>Unidad</t>
        </is>
      </c>
      <c r="E270" t="inlineStr">
        <is>
          <t>CDS</t>
        </is>
      </c>
      <c r="F270" t="n">
        <v>30</v>
      </c>
      <c r="G270" t="n">
        <v>0</v>
      </c>
      <c r="H270" t="n">
        <v>0</v>
      </c>
      <c r="I270" t="n">
        <v>0</v>
      </c>
      <c r="J270" t="n">
        <v>0</v>
      </c>
      <c r="K270" t="n">
        <v>0</v>
      </c>
      <c r="L270" t="n">
        <v>0</v>
      </c>
      <c r="M270">
        <f>F270+G270+H270+K270-I270-J270-L270</f>
        <v/>
      </c>
      <c r="N270" t="inlineStr">
        <is>
          <t>NO APLICA</t>
        </is>
      </c>
      <c r="O270" t="n">
        <v>5</v>
      </c>
      <c r="P270">
        <f>IF(M270&lt;0, "ERROR: SOBREGIRO", IF(M270=0, "SIN EXISTENCIAS", IF(M270&lt;=O270, "STOCK BAJO", "STOCK NORMAL")))</f>
        <v/>
      </c>
    </row>
    <row r="271">
      <c r="A271" t="n">
        <v>7551</v>
      </c>
      <c r="B271" t="inlineStr">
        <is>
          <t>ABRAZADERA COLGANTE (IMC/CORAZA) PARA EXTERIOR 1"</t>
        </is>
      </c>
      <c r="C271" t="inlineStr">
        <is>
          <t>Tornilleria</t>
        </is>
      </c>
      <c r="D271" t="inlineStr">
        <is>
          <t>Unidad</t>
        </is>
      </c>
      <c r="E271" t="inlineStr">
        <is>
          <t>CDS</t>
        </is>
      </c>
      <c r="F271" t="n">
        <v>24</v>
      </c>
      <c r="G271" t="n">
        <v>0</v>
      </c>
      <c r="H271" t="n">
        <v>0</v>
      </c>
      <c r="I271" t="n">
        <v>0</v>
      </c>
      <c r="J271" t="n">
        <v>0</v>
      </c>
      <c r="K271" t="n">
        <v>0</v>
      </c>
      <c r="L271" t="n">
        <v>0</v>
      </c>
      <c r="M271">
        <f>F271+G271+H271+K271-I271-J271-L271</f>
        <v/>
      </c>
      <c r="N271" t="inlineStr">
        <is>
          <t>NO APLICA</t>
        </is>
      </c>
      <c r="O271" t="n">
        <v>5</v>
      </c>
      <c r="P271">
        <f>IF(M271&lt;0, "ERROR: SOBREGIRO", IF(M271=0, "SIN EXISTENCIAS", IF(M271&lt;=O271, "STOCK BAJO", "STOCK NORMAL")))</f>
        <v/>
      </c>
    </row>
    <row r="272">
      <c r="A272" t="n">
        <v>7552</v>
      </c>
      <c r="B272" t="inlineStr">
        <is>
          <t>ABRAZADERA COLGANTE (IMC/CORAZA) PARA EXTERIOR 1/2"</t>
        </is>
      </c>
      <c r="C272" t="inlineStr">
        <is>
          <t>Tornilleria</t>
        </is>
      </c>
      <c r="D272" t="inlineStr">
        <is>
          <t>Unidad</t>
        </is>
      </c>
      <c r="E272" t="inlineStr">
        <is>
          <t>CDS</t>
        </is>
      </c>
      <c r="F272" t="n">
        <v>30</v>
      </c>
      <c r="G272" t="n">
        <v>0</v>
      </c>
      <c r="H272" t="n">
        <v>0</v>
      </c>
      <c r="I272" t="n">
        <v>0</v>
      </c>
      <c r="J272" t="n">
        <v>0</v>
      </c>
      <c r="K272" t="n">
        <v>0</v>
      </c>
      <c r="L272" t="n">
        <v>0</v>
      </c>
      <c r="M272">
        <f>F272+G272+H272+K272-I272-J272-L272</f>
        <v/>
      </c>
      <c r="N272" t="inlineStr">
        <is>
          <t>NO APLICA</t>
        </is>
      </c>
      <c r="O272" t="n">
        <v>5</v>
      </c>
      <c r="P272">
        <f>IF(M272&lt;0, "ERROR: SOBREGIRO", IF(M272=0, "SIN EXISTENCIAS", IF(M272&lt;=O272, "STOCK BAJO", "STOCK NORMAL")))</f>
        <v/>
      </c>
    </row>
    <row r="273">
      <c r="A273" t="n">
        <v>7554</v>
      </c>
      <c r="B273" t="inlineStr">
        <is>
          <t>ABRAZADERA COLGANTE (IMC/CORAZA) PARA EXTERIOR 2"</t>
        </is>
      </c>
      <c r="C273" t="inlineStr">
        <is>
          <t>Tornilleria</t>
        </is>
      </c>
      <c r="D273" t="inlineStr">
        <is>
          <t>Unidad</t>
        </is>
      </c>
      <c r="E273" t="inlineStr">
        <is>
          <t>CDS</t>
        </is>
      </c>
      <c r="F273" t="n">
        <v>68</v>
      </c>
      <c r="G273" t="n">
        <v>0</v>
      </c>
      <c r="H273" t="n">
        <v>0</v>
      </c>
      <c r="I273" t="n">
        <v>0</v>
      </c>
      <c r="J273" t="n">
        <v>0</v>
      </c>
      <c r="K273" t="n">
        <v>0</v>
      </c>
      <c r="L273" t="n">
        <v>0</v>
      </c>
      <c r="M273">
        <f>F273+G273+H273+K273-I273-J273-L273</f>
        <v/>
      </c>
      <c r="N273" t="inlineStr">
        <is>
          <t>NO APLICA</t>
        </is>
      </c>
      <c r="O273" t="n">
        <v>5</v>
      </c>
      <c r="P273">
        <f>IF(M273&lt;0, "ERROR: SOBREGIRO", IF(M273=0, "SIN EXISTENCIAS", IF(M273&lt;=O273, "STOCK BAJO", "STOCK NORMAL")))</f>
        <v/>
      </c>
    </row>
    <row r="274">
      <c r="A274" t="n">
        <v>7555</v>
      </c>
      <c r="B274" t="inlineStr">
        <is>
          <t>ABRAZADERA COLGANTE (IMC/CORAZA) PARA EXTERIOR 3/4"</t>
        </is>
      </c>
      <c r="C274" t="inlineStr">
        <is>
          <t>Tornilleria</t>
        </is>
      </c>
      <c r="D274" t="inlineStr">
        <is>
          <t>Unidad</t>
        </is>
      </c>
      <c r="E274" t="inlineStr">
        <is>
          <t>CDS</t>
        </is>
      </c>
      <c r="F274" t="n">
        <v>28</v>
      </c>
      <c r="G274" t="n">
        <v>0</v>
      </c>
      <c r="H274" t="n">
        <v>0</v>
      </c>
      <c r="I274" t="n">
        <v>0</v>
      </c>
      <c r="J274" t="n">
        <v>0</v>
      </c>
      <c r="K274" t="n">
        <v>0</v>
      </c>
      <c r="L274" t="n">
        <v>0</v>
      </c>
      <c r="M274">
        <f>F274+G274+H274+K274-I274-J274-L274</f>
        <v/>
      </c>
      <c r="N274" t="inlineStr">
        <is>
          <t>NO APLICA</t>
        </is>
      </c>
      <c r="O274" t="n">
        <v>5</v>
      </c>
      <c r="P274">
        <f>IF(M274&lt;0, "ERROR: SOBREGIRO", IF(M274=0, "SIN EXISTENCIAS", IF(M274&lt;=O274, "STOCK BAJO", "STOCK NORMAL")))</f>
        <v/>
      </c>
    </row>
    <row r="275">
      <c r="A275" t="n">
        <v>7556</v>
      </c>
      <c r="B275" t="inlineStr">
        <is>
          <t>ABRAZADERA COLGANTE PARA INTERIOR 1 1/2"</t>
        </is>
      </c>
      <c r="C275" t="inlineStr">
        <is>
          <t>Tornilleria</t>
        </is>
      </c>
      <c r="D275" t="inlineStr">
        <is>
          <t>Unidad</t>
        </is>
      </c>
      <c r="E275" t="inlineStr">
        <is>
          <t>CDS</t>
        </is>
      </c>
      <c r="F275" t="n">
        <v>9</v>
      </c>
      <c r="G275" t="n">
        <v>0</v>
      </c>
      <c r="H275" t="n">
        <v>0</v>
      </c>
      <c r="I275" t="n">
        <v>0</v>
      </c>
      <c r="J275" t="n">
        <v>0</v>
      </c>
      <c r="K275" t="n">
        <v>0</v>
      </c>
      <c r="L275" t="n">
        <v>0</v>
      </c>
      <c r="M275">
        <f>F275+G275+H275+K275-I275-J275-L275</f>
        <v/>
      </c>
      <c r="N275" t="inlineStr">
        <is>
          <t>NO APLICA</t>
        </is>
      </c>
      <c r="O275" t="n">
        <v>5</v>
      </c>
      <c r="P275">
        <f>IF(M275&lt;0, "ERROR: SOBREGIRO", IF(M275=0, "SIN EXISTENCIAS", IF(M275&lt;=O275, "STOCK BAJO", "STOCK NORMAL")))</f>
        <v/>
      </c>
    </row>
    <row r="276">
      <c r="A276" t="n">
        <v>7557</v>
      </c>
      <c r="B276" t="inlineStr">
        <is>
          <t>ABRAZADERA COLGANTE PARA INTERIOR 1 1/4"</t>
        </is>
      </c>
      <c r="C276" t="inlineStr">
        <is>
          <t>Tornilleria</t>
        </is>
      </c>
      <c r="D276" t="inlineStr">
        <is>
          <t>Unidad</t>
        </is>
      </c>
      <c r="E276" t="inlineStr">
        <is>
          <t>CDS</t>
        </is>
      </c>
      <c r="F276" t="n">
        <v>3</v>
      </c>
      <c r="G276" t="n">
        <v>0</v>
      </c>
      <c r="H276" t="n">
        <v>0</v>
      </c>
      <c r="I276" t="n">
        <v>0</v>
      </c>
      <c r="J276" t="n">
        <v>0</v>
      </c>
      <c r="K276" t="n">
        <v>0</v>
      </c>
      <c r="L276" t="n">
        <v>0</v>
      </c>
      <c r="M276">
        <f>F276+G276+H276+K276-I276-J276-L276</f>
        <v/>
      </c>
      <c r="N276" t="inlineStr">
        <is>
          <t>NO APLICA</t>
        </is>
      </c>
      <c r="O276" t="n">
        <v>5</v>
      </c>
      <c r="P276">
        <f>IF(M276&lt;0, "ERROR: SOBREGIRO", IF(M276=0, "SIN EXISTENCIAS", IF(M276&lt;=O276, "STOCK BAJO", "STOCK NORMAL")))</f>
        <v/>
      </c>
    </row>
    <row r="277">
      <c r="A277" t="n">
        <v>7558</v>
      </c>
      <c r="B277" t="inlineStr">
        <is>
          <t>ABRAZADERA COLGANTE PARA INTERIOR 1"</t>
        </is>
      </c>
      <c r="C277" t="inlineStr">
        <is>
          <t>Tornilleria</t>
        </is>
      </c>
      <c r="D277" t="inlineStr">
        <is>
          <t>Unidad</t>
        </is>
      </c>
      <c r="E277" t="inlineStr">
        <is>
          <t>CDS</t>
        </is>
      </c>
      <c r="F277" t="n">
        <v>211</v>
      </c>
      <c r="G277" t="n">
        <v>0</v>
      </c>
      <c r="H277" t="n">
        <v>0</v>
      </c>
      <c r="I277" t="n">
        <v>0</v>
      </c>
      <c r="J277" t="n">
        <v>0</v>
      </c>
      <c r="K277" t="n">
        <v>0</v>
      </c>
      <c r="L277" t="n">
        <v>0</v>
      </c>
      <c r="M277">
        <f>F277+G277+H277+K277-I277-J277-L277</f>
        <v/>
      </c>
      <c r="N277" t="inlineStr">
        <is>
          <t>NO APLICA</t>
        </is>
      </c>
      <c r="O277" t="n">
        <v>5</v>
      </c>
      <c r="P277">
        <f>IF(M277&lt;0, "ERROR: SOBREGIRO", IF(M277=0, "SIN EXISTENCIAS", IF(M277&lt;=O277, "STOCK BAJO", "STOCK NORMAL")))</f>
        <v/>
      </c>
    </row>
    <row r="278">
      <c r="A278" t="n">
        <v>7559</v>
      </c>
      <c r="B278" t="inlineStr">
        <is>
          <t>ABRAZADERA COLGANTE PARA INTERIOR 1/2"</t>
        </is>
      </c>
      <c r="C278" t="inlineStr">
        <is>
          <t>Tornilleria</t>
        </is>
      </c>
      <c r="D278" t="inlineStr">
        <is>
          <t>Unidad</t>
        </is>
      </c>
      <c r="E278" t="inlineStr">
        <is>
          <t>CDS</t>
        </is>
      </c>
      <c r="F278" t="n">
        <v>7</v>
      </c>
      <c r="G278" t="n">
        <v>0</v>
      </c>
      <c r="H278" t="n">
        <v>0</v>
      </c>
      <c r="I278" t="n">
        <v>0</v>
      </c>
      <c r="J278" t="n">
        <v>0</v>
      </c>
      <c r="K278" t="n">
        <v>0</v>
      </c>
      <c r="L278" t="n">
        <v>0</v>
      </c>
      <c r="M278">
        <f>F278+G278+H278+K278-I278-J278-L278</f>
        <v/>
      </c>
      <c r="N278" t="inlineStr">
        <is>
          <t>NO APLICA</t>
        </is>
      </c>
      <c r="O278" t="n">
        <v>5</v>
      </c>
      <c r="P278">
        <f>IF(M278&lt;0, "ERROR: SOBREGIRO", IF(M278=0, "SIN EXISTENCIAS", IF(M278&lt;=O278, "STOCK BAJO", "STOCK NORMAL")))</f>
        <v/>
      </c>
    </row>
    <row r="279">
      <c r="A279" t="n">
        <v>7562</v>
      </c>
      <c r="B279" t="inlineStr">
        <is>
          <t>ABRAZADERA COLGANTE PARA INTERIOR 3/4"</t>
        </is>
      </c>
      <c r="C279" t="inlineStr">
        <is>
          <t>Tornilleria</t>
        </is>
      </c>
      <c r="D279" t="inlineStr">
        <is>
          <t>Unidad</t>
        </is>
      </c>
      <c r="E279" t="inlineStr">
        <is>
          <t>CDS</t>
        </is>
      </c>
      <c r="F279" t="n">
        <v>18</v>
      </c>
      <c r="G279" t="n">
        <v>0</v>
      </c>
      <c r="H279" t="n">
        <v>0</v>
      </c>
      <c r="I279" t="n">
        <v>0</v>
      </c>
      <c r="J279" t="n">
        <v>0</v>
      </c>
      <c r="K279" t="n">
        <v>0</v>
      </c>
      <c r="L279" t="n">
        <v>0</v>
      </c>
      <c r="M279">
        <f>F279+G279+H279+K279-I279-J279-L279</f>
        <v/>
      </c>
      <c r="N279" t="inlineStr">
        <is>
          <t>NO APLICA</t>
        </is>
      </c>
      <c r="O279" t="n">
        <v>5</v>
      </c>
      <c r="P279">
        <f>IF(M279&lt;0, "ERROR: SOBREGIRO", IF(M279=0, "SIN EXISTENCIAS", IF(M279&lt;=O279, "STOCK BAJO", "STOCK NORMAL")))</f>
        <v/>
      </c>
    </row>
    <row r="280">
      <c r="A280" t="n">
        <v>7563</v>
      </c>
      <c r="B280" t="inlineStr">
        <is>
          <t>ABRAZADERA DOBLE ALA (IMC/CORAZA) PARA EXTERIOR 1 1/2"</t>
        </is>
      </c>
      <c r="C280" t="inlineStr">
        <is>
          <t>Tornilleria</t>
        </is>
      </c>
      <c r="D280" t="inlineStr">
        <is>
          <t>Unidad</t>
        </is>
      </c>
      <c r="E280" t="inlineStr">
        <is>
          <t>CDS</t>
        </is>
      </c>
      <c r="F280" t="n">
        <v>26</v>
      </c>
      <c r="G280" t="n">
        <v>0</v>
      </c>
      <c r="H280" t="n">
        <v>0</v>
      </c>
      <c r="I280" t="n">
        <v>0</v>
      </c>
      <c r="J280" t="n">
        <v>0</v>
      </c>
      <c r="K280" t="n">
        <v>0</v>
      </c>
      <c r="L280" t="n">
        <v>0</v>
      </c>
      <c r="M280">
        <f>F280+G280+H280+K280-I280-J280-L280</f>
        <v/>
      </c>
      <c r="N280" t="inlineStr">
        <is>
          <t>NO APLICA</t>
        </is>
      </c>
      <c r="O280" t="n">
        <v>5</v>
      </c>
      <c r="P280">
        <f>IF(M280&lt;0, "ERROR: SOBREGIRO", IF(M280=0, "SIN EXISTENCIAS", IF(M280&lt;=O280, "STOCK BAJO", "STOCK NORMAL")))</f>
        <v/>
      </c>
    </row>
    <row r="281">
      <c r="A281" t="n">
        <v>7564</v>
      </c>
      <c r="B281" t="inlineStr">
        <is>
          <t>ABRAZADERA DOBLE ALA (IMC/CORAZA) PARA EXTERIOR 1 1/4"</t>
        </is>
      </c>
      <c r="C281" t="inlineStr">
        <is>
          <t>Tornilleria</t>
        </is>
      </c>
      <c r="D281" t="inlineStr">
        <is>
          <t>Unidad</t>
        </is>
      </c>
      <c r="E281" t="inlineStr">
        <is>
          <t>CDS</t>
        </is>
      </c>
      <c r="F281" t="n">
        <v>12</v>
      </c>
      <c r="G281" t="n">
        <v>0</v>
      </c>
      <c r="H281" t="n">
        <v>0</v>
      </c>
      <c r="I281" t="n">
        <v>0</v>
      </c>
      <c r="J281" t="n">
        <v>0</v>
      </c>
      <c r="K281" t="n">
        <v>0</v>
      </c>
      <c r="L281" t="n">
        <v>0</v>
      </c>
      <c r="M281">
        <f>F281+G281+H281+K281-I281-J281-L281</f>
        <v/>
      </c>
      <c r="N281" t="inlineStr">
        <is>
          <t>NO APLICA</t>
        </is>
      </c>
      <c r="O281" t="n">
        <v>5</v>
      </c>
      <c r="P281">
        <f>IF(M281&lt;0, "ERROR: SOBREGIRO", IF(M281=0, "SIN EXISTENCIAS", IF(M281&lt;=O281, "STOCK BAJO", "STOCK NORMAL")))</f>
        <v/>
      </c>
    </row>
    <row r="282">
      <c r="A282" t="n">
        <v>7565</v>
      </c>
      <c r="B282" t="inlineStr">
        <is>
          <t>ABRAZADERA DOBLE ALA (IMC/CORAZA) PARA EXTERIOR 1"</t>
        </is>
      </c>
      <c r="C282" t="inlineStr">
        <is>
          <t>Tornilleria</t>
        </is>
      </c>
      <c r="D282" t="inlineStr">
        <is>
          <t>Unidad</t>
        </is>
      </c>
      <c r="E282" t="inlineStr">
        <is>
          <t>CDS</t>
        </is>
      </c>
      <c r="F282" t="n">
        <v>27</v>
      </c>
      <c r="G282" t="n">
        <v>0</v>
      </c>
      <c r="H282" t="n">
        <v>0</v>
      </c>
      <c r="I282" t="n">
        <v>0</v>
      </c>
      <c r="J282" t="n">
        <v>0</v>
      </c>
      <c r="K282" t="n">
        <v>0</v>
      </c>
      <c r="L282" t="n">
        <v>0</v>
      </c>
      <c r="M282">
        <f>F282+G282+H282+K282-I282-J282-L282</f>
        <v/>
      </c>
      <c r="N282" t="inlineStr">
        <is>
          <t>NO APLICA</t>
        </is>
      </c>
      <c r="O282" t="n">
        <v>5</v>
      </c>
      <c r="P282">
        <f>IF(M282&lt;0, "ERROR: SOBREGIRO", IF(M282=0, "SIN EXISTENCIAS", IF(M282&lt;=O282, "STOCK BAJO", "STOCK NORMAL")))</f>
        <v/>
      </c>
    </row>
    <row r="283">
      <c r="A283" t="n">
        <v>7568</v>
      </c>
      <c r="B283" t="inlineStr">
        <is>
          <t>ABRAZADERA DOBLE ALA (IMC/CORAZA) PARA EXTERIOR 2"</t>
        </is>
      </c>
      <c r="C283" t="inlineStr">
        <is>
          <t>Tornilleria</t>
        </is>
      </c>
      <c r="D283" t="inlineStr">
        <is>
          <t>Unidad</t>
        </is>
      </c>
      <c r="E283" t="inlineStr">
        <is>
          <t>CDS</t>
        </is>
      </c>
      <c r="F283" t="n">
        <v>3</v>
      </c>
      <c r="G283" t="n">
        <v>0</v>
      </c>
      <c r="H283" t="n">
        <v>0</v>
      </c>
      <c r="I283" t="n">
        <v>0</v>
      </c>
      <c r="J283" t="n">
        <v>0</v>
      </c>
      <c r="K283" t="n">
        <v>0</v>
      </c>
      <c r="L283" t="n">
        <v>0</v>
      </c>
      <c r="M283">
        <f>F283+G283+H283+K283-I283-J283-L283</f>
        <v/>
      </c>
      <c r="N283" t="inlineStr">
        <is>
          <t>NO APLICA</t>
        </is>
      </c>
      <c r="O283" t="n">
        <v>5</v>
      </c>
      <c r="P283">
        <f>IF(M283&lt;0, "ERROR: SOBREGIRO", IF(M283=0, "SIN EXISTENCIAS", IF(M283&lt;=O283, "STOCK BAJO", "STOCK NORMAL")))</f>
        <v/>
      </c>
    </row>
    <row r="284">
      <c r="A284" t="n">
        <v>7569</v>
      </c>
      <c r="B284" t="inlineStr">
        <is>
          <t>ABRAZADERA DOBLE ALA (IMC/CORAZA) PARA EXTERIOR 3/4"</t>
        </is>
      </c>
      <c r="C284" t="inlineStr">
        <is>
          <t>Tornilleria</t>
        </is>
      </c>
      <c r="D284" t="inlineStr">
        <is>
          <t>Unidad</t>
        </is>
      </c>
      <c r="E284" t="inlineStr">
        <is>
          <t>CDS</t>
        </is>
      </c>
      <c r="F284" t="n">
        <v>48</v>
      </c>
      <c r="G284" t="n">
        <v>0</v>
      </c>
      <c r="H284" t="n">
        <v>0</v>
      </c>
      <c r="I284" t="n">
        <v>0</v>
      </c>
      <c r="J284" t="n">
        <v>0</v>
      </c>
      <c r="K284" t="n">
        <v>0</v>
      </c>
      <c r="L284" t="n">
        <v>0</v>
      </c>
      <c r="M284">
        <f>F284+G284+H284+K284-I284-J284-L284</f>
        <v/>
      </c>
      <c r="N284" t="inlineStr">
        <is>
          <t>NO APLICA</t>
        </is>
      </c>
      <c r="O284" t="n">
        <v>5</v>
      </c>
      <c r="P284">
        <f>IF(M284&lt;0, "ERROR: SOBREGIRO", IF(M284=0, "SIN EXISTENCIAS", IF(M284&lt;=O284, "STOCK BAJO", "STOCK NORMAL")))</f>
        <v/>
      </c>
    </row>
    <row r="285">
      <c r="A285" t="n">
        <v>7570</v>
      </c>
      <c r="B285" t="inlineStr">
        <is>
          <t>ABRAZADERA DOBLE ALA PARA INTERIOR 1 1/2"</t>
        </is>
      </c>
      <c r="C285" t="inlineStr">
        <is>
          <t>Tornilleria</t>
        </is>
      </c>
      <c r="D285" t="inlineStr">
        <is>
          <t>Unidad</t>
        </is>
      </c>
      <c r="E285" t="inlineStr">
        <is>
          <t>CDS</t>
        </is>
      </c>
      <c r="F285" t="n">
        <v>96</v>
      </c>
      <c r="G285" t="n">
        <v>0</v>
      </c>
      <c r="H285" t="n">
        <v>0</v>
      </c>
      <c r="I285" t="n">
        <v>0</v>
      </c>
      <c r="J285" t="n">
        <v>0</v>
      </c>
      <c r="K285" t="n">
        <v>0</v>
      </c>
      <c r="L285" t="n">
        <v>0</v>
      </c>
      <c r="M285">
        <f>F285+G285+H285+K285-I285-J285-L285</f>
        <v/>
      </c>
      <c r="N285" t="inlineStr">
        <is>
          <t>NO APLICA</t>
        </is>
      </c>
      <c r="O285" t="n">
        <v>5</v>
      </c>
      <c r="P285">
        <f>IF(M285&lt;0, "ERROR: SOBREGIRO", IF(M285=0, "SIN EXISTENCIAS", IF(M285&lt;=O285, "STOCK BAJO", "STOCK NORMAL")))</f>
        <v/>
      </c>
    </row>
    <row r="286">
      <c r="A286" t="n">
        <v>7572</v>
      </c>
      <c r="B286" t="inlineStr">
        <is>
          <t>ABRAZADERA DOBLE ALA PARA INTERIOR 1"</t>
        </is>
      </c>
      <c r="C286" t="inlineStr">
        <is>
          <t>Tornilleria</t>
        </is>
      </c>
      <c r="D286" t="inlineStr">
        <is>
          <t>Unidad</t>
        </is>
      </c>
      <c r="E286" t="inlineStr">
        <is>
          <t>CDS</t>
        </is>
      </c>
      <c r="F286" t="n">
        <v>88</v>
      </c>
      <c r="G286" t="n">
        <v>0</v>
      </c>
      <c r="H286" t="n">
        <v>0</v>
      </c>
      <c r="I286" t="n">
        <v>0</v>
      </c>
      <c r="J286" t="n">
        <v>0</v>
      </c>
      <c r="K286" t="n">
        <v>0</v>
      </c>
      <c r="L286" t="n">
        <v>0</v>
      </c>
      <c r="M286">
        <f>F286+G286+H286+K286-I286-J286-L286</f>
        <v/>
      </c>
      <c r="N286" t="inlineStr">
        <is>
          <t>NO APLICA</t>
        </is>
      </c>
      <c r="O286" t="n">
        <v>5</v>
      </c>
      <c r="P286">
        <f>IF(M286&lt;0, "ERROR: SOBREGIRO", IF(M286=0, "SIN EXISTENCIAS", IF(M286&lt;=O286, "STOCK BAJO", "STOCK NORMAL")))</f>
        <v/>
      </c>
    </row>
    <row r="287">
      <c r="A287" t="n">
        <v>7573</v>
      </c>
      <c r="B287" t="inlineStr">
        <is>
          <t>ABRAZADERA DOBLE ALA PARA INTERIOR 1/2"</t>
        </is>
      </c>
      <c r="C287" t="inlineStr">
        <is>
          <t>Tornilleria</t>
        </is>
      </c>
      <c r="D287" t="inlineStr">
        <is>
          <t>Unidad</t>
        </is>
      </c>
      <c r="E287" t="inlineStr">
        <is>
          <t>CDS</t>
        </is>
      </c>
      <c r="F287" t="n">
        <v>17</v>
      </c>
      <c r="G287" t="n">
        <v>0</v>
      </c>
      <c r="H287" t="n">
        <v>0</v>
      </c>
      <c r="I287" t="n">
        <v>0</v>
      </c>
      <c r="J287" t="n">
        <v>0</v>
      </c>
      <c r="K287" t="n">
        <v>0</v>
      </c>
      <c r="L287" t="n">
        <v>0</v>
      </c>
      <c r="M287">
        <f>F287+G287+H287+K287-I287-J287-L287</f>
        <v/>
      </c>
      <c r="N287" t="inlineStr">
        <is>
          <t>NO APLICA</t>
        </is>
      </c>
      <c r="O287" t="n">
        <v>5</v>
      </c>
      <c r="P287">
        <f>IF(M287&lt;0, "ERROR: SOBREGIRO", IF(M287=0, "SIN EXISTENCIAS", IF(M287&lt;=O287, "STOCK BAJO", "STOCK NORMAL")))</f>
        <v/>
      </c>
    </row>
    <row r="288">
      <c r="A288" t="n">
        <v>7575</v>
      </c>
      <c r="B288" t="inlineStr">
        <is>
          <t>ABRAZADERA DOBLE ALA PARA INTERIOR 2"</t>
        </is>
      </c>
      <c r="C288" t="inlineStr">
        <is>
          <t>Tornilleria</t>
        </is>
      </c>
      <c r="D288" t="inlineStr">
        <is>
          <t>Unidad</t>
        </is>
      </c>
      <c r="E288" t="inlineStr">
        <is>
          <t>CDS</t>
        </is>
      </c>
      <c r="F288" t="n">
        <v>11</v>
      </c>
      <c r="G288" t="n">
        <v>0</v>
      </c>
      <c r="H288" t="n">
        <v>0</v>
      </c>
      <c r="I288" t="n">
        <v>0</v>
      </c>
      <c r="J288" t="n">
        <v>0</v>
      </c>
      <c r="K288" t="n">
        <v>0</v>
      </c>
      <c r="L288" t="n">
        <v>0</v>
      </c>
      <c r="M288">
        <f>F288+G288+H288+K288-I288-J288-L288</f>
        <v/>
      </c>
      <c r="N288" t="inlineStr">
        <is>
          <t>NO APLICA</t>
        </is>
      </c>
      <c r="O288" t="n">
        <v>5</v>
      </c>
      <c r="P288">
        <f>IF(M288&lt;0, "ERROR: SOBREGIRO", IF(M288=0, "SIN EXISTENCIAS", IF(M288&lt;=O288, "STOCK BAJO", "STOCK NORMAL")))</f>
        <v/>
      </c>
    </row>
    <row r="289">
      <c r="A289" t="n">
        <v>7576</v>
      </c>
      <c r="B289" t="inlineStr">
        <is>
          <t>ABRAZADERA DOBLE ALA PARA INTERIOR 3/4"</t>
        </is>
      </c>
      <c r="C289" t="inlineStr">
        <is>
          <t>Tornilleria</t>
        </is>
      </c>
      <c r="D289" t="inlineStr">
        <is>
          <t>Unidad</t>
        </is>
      </c>
      <c r="E289" t="inlineStr">
        <is>
          <t>CDS</t>
        </is>
      </c>
      <c r="F289" t="n">
        <v>216</v>
      </c>
      <c r="G289" t="n">
        <v>0</v>
      </c>
      <c r="H289" t="n">
        <v>0</v>
      </c>
      <c r="I289" t="n">
        <v>0</v>
      </c>
      <c r="J289" t="n">
        <v>0</v>
      </c>
      <c r="K289" t="n">
        <v>0</v>
      </c>
      <c r="L289" t="n">
        <v>0</v>
      </c>
      <c r="M289">
        <f>F289+G289+H289+K289-I289-J289-L289</f>
        <v/>
      </c>
      <c r="N289" t="inlineStr">
        <is>
          <t>NO APLICA</t>
        </is>
      </c>
      <c r="O289" t="n">
        <v>5</v>
      </c>
      <c r="P289">
        <f>IF(M289&lt;0, "ERROR: SOBREGIRO", IF(M289=0, "SIN EXISTENCIAS", IF(M289&lt;=O289, "STOCK BAJO", "STOCK NORMAL")))</f>
        <v/>
      </c>
    </row>
    <row r="290">
      <c r="A290" t="n">
        <v>7579</v>
      </c>
      <c r="B290" t="inlineStr">
        <is>
          <t>ABRAZADERA UN ALA (IMC/CORAZA) PARA EXTERIOR 1"</t>
        </is>
      </c>
      <c r="C290" t="inlineStr">
        <is>
          <t>Tornilleria</t>
        </is>
      </c>
      <c r="D290" t="inlineStr">
        <is>
          <t>Unidad</t>
        </is>
      </c>
      <c r="E290" t="inlineStr">
        <is>
          <t>CDS</t>
        </is>
      </c>
      <c r="F290" t="n">
        <v>20</v>
      </c>
      <c r="G290" t="n">
        <v>0</v>
      </c>
      <c r="H290" t="n">
        <v>0</v>
      </c>
      <c r="I290" t="n">
        <v>0</v>
      </c>
      <c r="J290" t="n">
        <v>0</v>
      </c>
      <c r="K290" t="n">
        <v>0</v>
      </c>
      <c r="L290" t="n">
        <v>0</v>
      </c>
      <c r="M290">
        <f>F290+G290+H290+K290-I290-J290-L290</f>
        <v/>
      </c>
      <c r="N290" t="inlineStr">
        <is>
          <t>NO APLICA</t>
        </is>
      </c>
      <c r="O290" t="n">
        <v>5</v>
      </c>
      <c r="P290">
        <f>IF(M290&lt;0, "ERROR: SOBREGIRO", IF(M290=0, "SIN EXISTENCIAS", IF(M290&lt;=O290, "STOCK BAJO", "STOCK NORMAL")))</f>
        <v/>
      </c>
    </row>
    <row r="291">
      <c r="A291" t="n">
        <v>7590</v>
      </c>
      <c r="B291" t="inlineStr">
        <is>
          <t>ABRAZADERA UN ALA PARA INTERIOR 3/4"</t>
        </is>
      </c>
      <c r="C291" t="inlineStr">
        <is>
          <t>Tornilleria</t>
        </is>
      </c>
      <c r="D291" t="inlineStr">
        <is>
          <t>Unidad</t>
        </is>
      </c>
      <c r="E291" t="inlineStr">
        <is>
          <t>CDS</t>
        </is>
      </c>
      <c r="F291" t="n">
        <v>13</v>
      </c>
      <c r="G291" t="n">
        <v>0</v>
      </c>
      <c r="H291" t="n">
        <v>0</v>
      </c>
      <c r="I291" t="n">
        <v>0</v>
      </c>
      <c r="J291" t="n">
        <v>0</v>
      </c>
      <c r="K291" t="n">
        <v>0</v>
      </c>
      <c r="L291" t="n">
        <v>0</v>
      </c>
      <c r="M291">
        <f>F291+G291+H291+K291-I291-J291-L291</f>
        <v/>
      </c>
      <c r="N291" t="inlineStr">
        <is>
          <t>NO APLICA</t>
        </is>
      </c>
      <c r="O291" t="n">
        <v>5</v>
      </c>
      <c r="P291">
        <f>IF(M291&lt;0, "ERROR: SOBREGIRO", IF(M291=0, "SIN EXISTENCIAS", IF(M291&lt;=O291, "STOCK BAJO", "STOCK NORMAL")))</f>
        <v/>
      </c>
    </row>
    <row r="292">
      <c r="A292" t="n">
        <v>7602</v>
      </c>
      <c r="B292" t="inlineStr">
        <is>
          <t>ADAPTADOR HEMBRA CONDUIT PVC 1/2"</t>
        </is>
      </c>
      <c r="C292" t="inlineStr">
        <is>
          <t>Materiales</t>
        </is>
      </c>
      <c r="D292" t="inlineStr">
        <is>
          <t>Unidad</t>
        </is>
      </c>
      <c r="E292" t="inlineStr">
        <is>
          <t>CDS</t>
        </is>
      </c>
      <c r="F292" t="n">
        <v>0</v>
      </c>
      <c r="G292" t="n">
        <v>0</v>
      </c>
      <c r="H292" t="n">
        <v>0</v>
      </c>
      <c r="I292" t="n">
        <v>0</v>
      </c>
      <c r="J292" t="n">
        <v>0</v>
      </c>
      <c r="K292" t="n">
        <v>0</v>
      </c>
      <c r="L292" t="n">
        <v>0</v>
      </c>
      <c r="M292">
        <f>F292+G292+H292+K292-I292-J292-L292</f>
        <v/>
      </c>
      <c r="N292" t="inlineStr">
        <is>
          <t>NO APLICA</t>
        </is>
      </c>
      <c r="O292" t="n">
        <v>5</v>
      </c>
      <c r="P292">
        <f>IF(M292&lt;0, "ERROR: SOBREGIRO", IF(M292=0, "SIN EXISTENCIAS", IF(M292&lt;=O292, "STOCK BAJO", "STOCK NORMAL")))</f>
        <v/>
      </c>
    </row>
    <row r="293">
      <c r="A293" t="n">
        <v>7656</v>
      </c>
      <c r="B293" t="inlineStr">
        <is>
          <t>ADAPTADOR MACHO PVC 1/2"</t>
        </is>
      </c>
      <c r="C293" t="inlineStr">
        <is>
          <t>Materiales</t>
        </is>
      </c>
      <c r="D293" t="inlineStr">
        <is>
          <t>Unidad</t>
        </is>
      </c>
      <c r="E293" t="inlineStr">
        <is>
          <t>CDS</t>
        </is>
      </c>
      <c r="F293" t="n">
        <v>0</v>
      </c>
      <c r="G293" t="n">
        <v>0</v>
      </c>
      <c r="H293" t="n">
        <v>0</v>
      </c>
      <c r="I293" t="n">
        <v>0</v>
      </c>
      <c r="J293" t="n">
        <v>0</v>
      </c>
      <c r="K293" t="n">
        <v>0</v>
      </c>
      <c r="L293" t="n">
        <v>0</v>
      </c>
      <c r="M293">
        <f>F293+G293+H293+K293-I293-J293-L293</f>
        <v/>
      </c>
      <c r="N293" t="inlineStr">
        <is>
          <t>NO APLICA</t>
        </is>
      </c>
      <c r="O293" t="n">
        <v>5</v>
      </c>
      <c r="P293">
        <f>IF(M293&lt;0, "ERROR: SOBREGIRO", IF(M293=0, "SIN EXISTENCIAS", IF(M293&lt;=O293, "STOCK BAJO", "STOCK NORMAL")))</f>
        <v/>
      </c>
    </row>
    <row r="294">
      <c r="A294" t="n">
        <v>7667</v>
      </c>
      <c r="B294" t="inlineStr">
        <is>
          <t>ADAPTADOR TERMINAL CAMPANA DUCTO CONDUIT PVC 2"</t>
        </is>
      </c>
      <c r="C294" t="inlineStr">
        <is>
          <t>Elementos electricos</t>
        </is>
      </c>
      <c r="D294" t="inlineStr">
        <is>
          <t>Unidad</t>
        </is>
      </c>
      <c r="E294" t="inlineStr">
        <is>
          <t>CDS</t>
        </is>
      </c>
      <c r="F294" t="n">
        <v>0</v>
      </c>
      <c r="G294" t="n">
        <v>0</v>
      </c>
      <c r="H294" t="n">
        <v>0</v>
      </c>
      <c r="I294" t="n">
        <v>0</v>
      </c>
      <c r="J294" t="n">
        <v>0</v>
      </c>
      <c r="K294" t="n">
        <v>0</v>
      </c>
      <c r="L294" t="n">
        <v>0</v>
      </c>
      <c r="M294">
        <f>F294+G294+H294+K294-I294-J294-L294</f>
        <v/>
      </c>
      <c r="N294" t="inlineStr">
        <is>
          <t>NO APLICA</t>
        </is>
      </c>
      <c r="O294" t="n">
        <v>5</v>
      </c>
      <c r="P294">
        <f>IF(M294&lt;0, "ERROR: SOBREGIRO", IF(M294=0, "SIN EXISTENCIAS", IF(M294&lt;=O294, "STOCK BAJO", "STOCK NORMAL")))</f>
        <v/>
      </c>
    </row>
    <row r="295">
      <c r="A295" t="n">
        <v>7668</v>
      </c>
      <c r="B295" t="inlineStr">
        <is>
          <t>ADAPTADOR TERMINAL CAMPANA DUCTO CONDUIT PVC 3"</t>
        </is>
      </c>
      <c r="C295" t="inlineStr">
        <is>
          <t>Elementos electricos</t>
        </is>
      </c>
      <c r="D295" t="inlineStr">
        <is>
          <t>Unidad</t>
        </is>
      </c>
      <c r="E295" t="inlineStr">
        <is>
          <t>CDS</t>
        </is>
      </c>
      <c r="F295" t="n">
        <v>0</v>
      </c>
      <c r="G295" t="n">
        <v>0</v>
      </c>
      <c r="H295" t="n">
        <v>0</v>
      </c>
      <c r="I295" t="n">
        <v>0</v>
      </c>
      <c r="J295" t="n">
        <v>0</v>
      </c>
      <c r="K295" t="n">
        <v>0</v>
      </c>
      <c r="L295" t="n">
        <v>0</v>
      </c>
      <c r="M295">
        <f>F295+G295+H295+K295-I295-J295-L295</f>
        <v/>
      </c>
      <c r="N295" t="inlineStr">
        <is>
          <t>NO APLICA</t>
        </is>
      </c>
      <c r="O295" t="n">
        <v>5</v>
      </c>
      <c r="P295">
        <f>IF(M295&lt;0, "ERROR: SOBREGIRO", IF(M295=0, "SIN EXISTENCIAS", IF(M295&lt;=O295, "STOCK BAJO", "STOCK NORMAL")))</f>
        <v/>
      </c>
    </row>
    <row r="296">
      <c r="A296" t="n">
        <v>7675</v>
      </c>
      <c r="B296" t="inlineStr">
        <is>
          <t>ADAPTADOR TERMINAL CONDUIT PVC (SCH 40) 2"</t>
        </is>
      </c>
      <c r="C296" t="inlineStr">
        <is>
          <t>Elementos electricos</t>
        </is>
      </c>
      <c r="D296" t="inlineStr">
        <is>
          <t>Unidad</t>
        </is>
      </c>
      <c r="E296" t="inlineStr">
        <is>
          <t>CDS</t>
        </is>
      </c>
      <c r="F296" t="n">
        <v>0</v>
      </c>
      <c r="G296" t="n">
        <v>0</v>
      </c>
      <c r="H296" t="n">
        <v>0</v>
      </c>
      <c r="I296" t="n">
        <v>0</v>
      </c>
      <c r="J296" t="n">
        <v>0</v>
      </c>
      <c r="K296" t="n">
        <v>0</v>
      </c>
      <c r="L296" t="n">
        <v>0</v>
      </c>
      <c r="M296">
        <f>F296+G296+H296+K296-I296-J296-L296</f>
        <v/>
      </c>
      <c r="N296" t="inlineStr">
        <is>
          <t>NO APLICA</t>
        </is>
      </c>
      <c r="O296" t="n">
        <v>5</v>
      </c>
      <c r="P296">
        <f>IF(M296&lt;0, "ERROR: SOBREGIRO", IF(M296=0, "SIN EXISTENCIAS", IF(M296&lt;=O296, "STOCK BAJO", "STOCK NORMAL")))</f>
        <v/>
      </c>
    </row>
    <row r="297">
      <c r="A297" t="n">
        <v>7678</v>
      </c>
      <c r="B297" t="inlineStr">
        <is>
          <t>ADAPTADOR TERMINAL CONDUIT PVC 1 1/2"</t>
        </is>
      </c>
      <c r="C297" t="inlineStr">
        <is>
          <t>Elementos electricos</t>
        </is>
      </c>
      <c r="D297" t="inlineStr">
        <is>
          <t>Unidad</t>
        </is>
      </c>
      <c r="E297" t="inlineStr">
        <is>
          <t>CDS</t>
        </is>
      </c>
      <c r="F297" t="n">
        <v>0</v>
      </c>
      <c r="G297" t="n">
        <v>0</v>
      </c>
      <c r="H297" t="n">
        <v>0</v>
      </c>
      <c r="I297" t="n">
        <v>0</v>
      </c>
      <c r="J297" t="n">
        <v>0</v>
      </c>
      <c r="K297" t="n">
        <v>0</v>
      </c>
      <c r="L297" t="n">
        <v>0</v>
      </c>
      <c r="M297">
        <f>F297+G297+H297+K297-I297-J297-L297</f>
        <v/>
      </c>
      <c r="N297" t="inlineStr">
        <is>
          <t>NO APLICA</t>
        </is>
      </c>
      <c r="O297" t="n">
        <v>5</v>
      </c>
      <c r="P297">
        <f>IF(M297&lt;0, "ERROR: SOBREGIRO", IF(M297=0, "SIN EXISTENCIAS", IF(M297&lt;=O297, "STOCK BAJO", "STOCK NORMAL")))</f>
        <v/>
      </c>
    </row>
    <row r="298">
      <c r="A298" t="n">
        <v>7679</v>
      </c>
      <c r="B298" t="inlineStr">
        <is>
          <t>ADAPTADOR TERMINAL CONDUIT PVC 1 1/4"</t>
        </is>
      </c>
      <c r="C298" t="inlineStr">
        <is>
          <t>Elementos electricos</t>
        </is>
      </c>
      <c r="D298" t="inlineStr">
        <is>
          <t>Unidad</t>
        </is>
      </c>
      <c r="E298" t="inlineStr">
        <is>
          <t>CDS</t>
        </is>
      </c>
      <c r="F298" t="n">
        <v>0</v>
      </c>
      <c r="G298" t="n">
        <v>0</v>
      </c>
      <c r="H298" t="n">
        <v>0</v>
      </c>
      <c r="I298" t="n">
        <v>0</v>
      </c>
      <c r="J298" t="n">
        <v>0</v>
      </c>
      <c r="K298" t="n">
        <v>0</v>
      </c>
      <c r="L298" t="n">
        <v>0</v>
      </c>
      <c r="M298">
        <f>F298+G298+H298+K298-I298-J298-L298</f>
        <v/>
      </c>
      <c r="N298" t="inlineStr">
        <is>
          <t>NO APLICA</t>
        </is>
      </c>
      <c r="O298" t="n">
        <v>5</v>
      </c>
      <c r="P298">
        <f>IF(M298&lt;0, "ERROR: SOBREGIRO", IF(M298=0, "SIN EXISTENCIAS", IF(M298&lt;=O298, "STOCK BAJO", "STOCK NORMAL")))</f>
        <v/>
      </c>
    </row>
    <row r="299">
      <c r="A299" t="n">
        <v>7680</v>
      </c>
      <c r="B299" t="inlineStr">
        <is>
          <t>ADAPTADOR TERMINAL CONDUIT PVC 1"</t>
        </is>
      </c>
      <c r="C299" t="inlineStr">
        <is>
          <t>Elementos electricos</t>
        </is>
      </c>
      <c r="D299" t="inlineStr">
        <is>
          <t>Unidad</t>
        </is>
      </c>
      <c r="E299" t="inlineStr">
        <is>
          <t>CDS</t>
        </is>
      </c>
      <c r="F299" t="n">
        <v>0</v>
      </c>
      <c r="G299" t="n">
        <v>0</v>
      </c>
      <c r="H299" t="n">
        <v>0</v>
      </c>
      <c r="I299" t="n">
        <v>0</v>
      </c>
      <c r="J299" t="n">
        <v>0</v>
      </c>
      <c r="K299" t="n">
        <v>0</v>
      </c>
      <c r="L299" t="n">
        <v>0</v>
      </c>
      <c r="M299">
        <f>F299+G299+H299+K299-I299-J299-L299</f>
        <v/>
      </c>
      <c r="N299" t="inlineStr">
        <is>
          <t>NO APLICA</t>
        </is>
      </c>
      <c r="O299" t="n">
        <v>5</v>
      </c>
      <c r="P299">
        <f>IF(M299&lt;0, "ERROR: SOBREGIRO", IF(M299=0, "SIN EXISTENCIAS", IF(M299&lt;=O299, "STOCK BAJO", "STOCK NORMAL")))</f>
        <v/>
      </c>
    </row>
    <row r="300">
      <c r="A300" t="n">
        <v>7682</v>
      </c>
      <c r="B300" t="inlineStr">
        <is>
          <t>ADAPTADOR TERMINAL CONDUIT PVC 2"</t>
        </is>
      </c>
      <c r="C300" t="inlineStr">
        <is>
          <t>Elementos electricos</t>
        </is>
      </c>
      <c r="D300" t="inlineStr">
        <is>
          <t>Unidad</t>
        </is>
      </c>
      <c r="E300" t="inlineStr">
        <is>
          <t>CDS</t>
        </is>
      </c>
      <c r="F300" t="n">
        <v>0</v>
      </c>
      <c r="G300" t="n">
        <v>0</v>
      </c>
      <c r="H300" t="n">
        <v>0</v>
      </c>
      <c r="I300" t="n">
        <v>0</v>
      </c>
      <c r="J300" t="n">
        <v>0</v>
      </c>
      <c r="K300" t="n">
        <v>0</v>
      </c>
      <c r="L300" t="n">
        <v>0</v>
      </c>
      <c r="M300">
        <f>F300+G300+H300+K300-I300-J300-L300</f>
        <v/>
      </c>
      <c r="N300" t="inlineStr">
        <is>
          <t>NO APLICA</t>
        </is>
      </c>
      <c r="O300" t="n">
        <v>5</v>
      </c>
      <c r="P300">
        <f>IF(M300&lt;0, "ERROR: SOBREGIRO", IF(M300=0, "SIN EXISTENCIAS", IF(M300&lt;=O300, "STOCK BAJO", "STOCK NORMAL")))</f>
        <v/>
      </c>
    </row>
    <row r="301">
      <c r="A301" t="n">
        <v>7683</v>
      </c>
      <c r="B301" t="inlineStr">
        <is>
          <t>ADAPTADOR TERMINAL CONDUIT PVC 3"</t>
        </is>
      </c>
      <c r="C301" t="inlineStr">
        <is>
          <t>Elementos electricos</t>
        </is>
      </c>
      <c r="D301" t="inlineStr">
        <is>
          <t>Unidad</t>
        </is>
      </c>
      <c r="E301" t="inlineStr">
        <is>
          <t>CDS</t>
        </is>
      </c>
      <c r="F301" t="n">
        <v>0</v>
      </c>
      <c r="G301" t="n">
        <v>0</v>
      </c>
      <c r="H301" t="n">
        <v>0</v>
      </c>
      <c r="I301" t="n">
        <v>0</v>
      </c>
      <c r="J301" t="n">
        <v>0</v>
      </c>
      <c r="K301" t="n">
        <v>0</v>
      </c>
      <c r="L301" t="n">
        <v>0</v>
      </c>
      <c r="M301">
        <f>F301+G301+H301+K301-I301-J301-L301</f>
        <v/>
      </c>
      <c r="N301" t="inlineStr">
        <is>
          <t>NO APLICA</t>
        </is>
      </c>
      <c r="O301" t="n">
        <v>5</v>
      </c>
      <c r="P301">
        <f>IF(M301&lt;0, "ERROR: SOBREGIRO", IF(M301=0, "SIN EXISTENCIAS", IF(M301&lt;=O301, "STOCK BAJO", "STOCK NORMAL")))</f>
        <v/>
      </c>
    </row>
    <row r="302">
      <c r="A302" t="n">
        <v>7684</v>
      </c>
      <c r="B302" t="inlineStr">
        <is>
          <t>ADAPTADOR TERMINAL CONDUIT PVC 3/4"</t>
        </is>
      </c>
      <c r="C302" t="inlineStr">
        <is>
          <t>Elementos electricos</t>
        </is>
      </c>
      <c r="D302" t="inlineStr">
        <is>
          <t>Unidad</t>
        </is>
      </c>
      <c r="E302" t="inlineStr">
        <is>
          <t>CDS</t>
        </is>
      </c>
      <c r="F302" t="n">
        <v>0</v>
      </c>
      <c r="G302" t="n">
        <v>0</v>
      </c>
      <c r="H302" t="n">
        <v>0</v>
      </c>
      <c r="I302" t="n">
        <v>0</v>
      </c>
      <c r="J302" t="n">
        <v>0</v>
      </c>
      <c r="K302" t="n">
        <v>0</v>
      </c>
      <c r="L302" t="n">
        <v>0</v>
      </c>
      <c r="M302">
        <f>F302+G302+H302+K302-I302-J302-L302</f>
        <v/>
      </c>
      <c r="N302" t="inlineStr">
        <is>
          <t>NO APLICA</t>
        </is>
      </c>
      <c r="O302" t="n">
        <v>5</v>
      </c>
      <c r="P302">
        <f>IF(M302&lt;0, "ERROR: SOBREGIRO", IF(M302=0, "SIN EXISTENCIAS", IF(M302&lt;=O302, "STOCK BAJO", "STOCK NORMAL")))</f>
        <v/>
      </c>
    </row>
    <row r="303">
      <c r="A303" t="n">
        <v>7688</v>
      </c>
      <c r="B303" t="inlineStr">
        <is>
          <t>BOQUILLA Y CONTRATUERCA CON POLO A TIERRA 1 1/4"</t>
        </is>
      </c>
      <c r="C303" t="inlineStr">
        <is>
          <t>Tornilleria</t>
        </is>
      </c>
      <c r="D303" t="inlineStr">
        <is>
          <t>Unidad</t>
        </is>
      </c>
      <c r="E303" t="inlineStr">
        <is>
          <t>CDS</t>
        </is>
      </c>
      <c r="F303" t="n">
        <v>0</v>
      </c>
      <c r="G303" t="n">
        <v>0</v>
      </c>
      <c r="H303" t="n">
        <v>0</v>
      </c>
      <c r="I303" t="n">
        <v>0</v>
      </c>
      <c r="J303" t="n">
        <v>0</v>
      </c>
      <c r="K303" t="n">
        <v>0</v>
      </c>
      <c r="L303" t="n">
        <v>0</v>
      </c>
      <c r="M303">
        <f>F303+G303+H303+K303-I303-J303-L303</f>
        <v/>
      </c>
      <c r="N303" t="inlineStr">
        <is>
          <t>NO APLICA</t>
        </is>
      </c>
      <c r="O303" t="n">
        <v>5</v>
      </c>
      <c r="P303">
        <f>IF(M303&lt;0, "ERROR: SOBREGIRO", IF(M303=0, "SIN EXISTENCIAS", IF(M303&lt;=O303, "STOCK BAJO", "STOCK NORMAL")))</f>
        <v/>
      </c>
    </row>
    <row r="304">
      <c r="A304" t="n">
        <v>7707</v>
      </c>
      <c r="B304" t="inlineStr">
        <is>
          <t>SELLANTE ADHESIVO SIKA</t>
        </is>
      </c>
      <c r="C304" t="inlineStr">
        <is>
          <t>Consumibles</t>
        </is>
      </c>
      <c r="D304" t="inlineStr">
        <is>
          <t>Unidad</t>
        </is>
      </c>
      <c r="E304" t="inlineStr">
        <is>
          <t>CDS</t>
        </is>
      </c>
      <c r="F304" t="n">
        <v>3</v>
      </c>
      <c r="G304" t="n">
        <v>0</v>
      </c>
      <c r="H304" t="n">
        <v>0</v>
      </c>
      <c r="I304" t="n">
        <v>0</v>
      </c>
      <c r="J304" t="n">
        <v>0</v>
      </c>
      <c r="K304" t="n">
        <v>0</v>
      </c>
      <c r="L304" t="n">
        <v>0</v>
      </c>
      <c r="M304">
        <f>F304+G304+H304+K304-I304-J304-L304</f>
        <v/>
      </c>
      <c r="N304" t="inlineStr">
        <is>
          <t>APLICA</t>
        </is>
      </c>
      <c r="O304" t="n">
        <v>5</v>
      </c>
      <c r="P304">
        <f>IF(M304&lt;0, "ERROR: SOBREGIRO", IF(M304=0, "SIN EXISTENCIAS", IF(M304&lt;=O304, "STOCK BAJO", "STOCK NORMAL")))</f>
        <v/>
      </c>
    </row>
    <row r="305">
      <c r="A305" t="n">
        <v>7752</v>
      </c>
      <c r="B305" t="inlineStr">
        <is>
          <t>CONDULETA CC 1 1/2" INTEMPERIE</t>
        </is>
      </c>
      <c r="C305" t="inlineStr">
        <is>
          <t>Materiales</t>
        </is>
      </c>
      <c r="D305" t="inlineStr">
        <is>
          <t>Unidad</t>
        </is>
      </c>
      <c r="E305" t="inlineStr">
        <is>
          <t>CDS</t>
        </is>
      </c>
      <c r="F305" t="n">
        <v>2</v>
      </c>
      <c r="G305" t="n">
        <v>0</v>
      </c>
      <c r="H305" t="n">
        <v>0</v>
      </c>
      <c r="I305" t="n">
        <v>0</v>
      </c>
      <c r="J305" t="n">
        <v>0</v>
      </c>
      <c r="K305" t="n">
        <v>0</v>
      </c>
      <c r="L305" t="n">
        <v>0</v>
      </c>
      <c r="M305">
        <f>F305+G305+H305+K305-I305-J305-L305</f>
        <v/>
      </c>
      <c r="N305" t="inlineStr">
        <is>
          <t>NO APLICA</t>
        </is>
      </c>
      <c r="O305" t="n">
        <v>5</v>
      </c>
      <c r="P305">
        <f>IF(M305&lt;0, "ERROR: SOBREGIRO", IF(M305=0, "SIN EXISTENCIAS", IF(M305&lt;=O305, "STOCK BAJO", "STOCK NORMAL")))</f>
        <v/>
      </c>
    </row>
    <row r="306">
      <c r="A306" t="n">
        <v>7753</v>
      </c>
      <c r="B306" t="inlineStr">
        <is>
          <t>CONDULETA CC 1 1/2" INTERIOR</t>
        </is>
      </c>
      <c r="C306" t="inlineStr">
        <is>
          <t>Materiales</t>
        </is>
      </c>
      <c r="D306" t="inlineStr">
        <is>
          <t>Unidad</t>
        </is>
      </c>
      <c r="E306" t="inlineStr">
        <is>
          <t>CDS</t>
        </is>
      </c>
      <c r="F306" t="n">
        <v>5</v>
      </c>
      <c r="G306" t="n">
        <v>0</v>
      </c>
      <c r="H306" t="n">
        <v>0</v>
      </c>
      <c r="I306" t="n">
        <v>0</v>
      </c>
      <c r="J306" t="n">
        <v>0</v>
      </c>
      <c r="K306" t="n">
        <v>0</v>
      </c>
      <c r="L306" t="n">
        <v>0</v>
      </c>
      <c r="M306">
        <f>F306+G306+H306+K306-I306-J306-L306</f>
        <v/>
      </c>
      <c r="N306" t="inlineStr">
        <is>
          <t>NO APLICA</t>
        </is>
      </c>
      <c r="O306" t="n">
        <v>5</v>
      </c>
      <c r="P306">
        <f>IF(M306&lt;0, "ERROR: SOBREGIRO", IF(M306=0, "SIN EXISTENCIAS", IF(M306&lt;=O306, "STOCK BAJO", "STOCK NORMAL")))</f>
        <v/>
      </c>
    </row>
    <row r="307">
      <c r="A307" t="n">
        <v>7756</v>
      </c>
      <c r="B307" t="inlineStr">
        <is>
          <t>CONDULETA CC 1" INTEMPERIE</t>
        </is>
      </c>
      <c r="C307" t="inlineStr">
        <is>
          <t>Materiales</t>
        </is>
      </c>
      <c r="D307" t="inlineStr">
        <is>
          <t>Unidad</t>
        </is>
      </c>
      <c r="E307" t="inlineStr">
        <is>
          <t>CDS</t>
        </is>
      </c>
      <c r="F307" t="n">
        <v>11</v>
      </c>
      <c r="G307" t="n">
        <v>0</v>
      </c>
      <c r="H307" t="n">
        <v>0</v>
      </c>
      <c r="I307" t="n">
        <v>0</v>
      </c>
      <c r="J307" t="n">
        <v>0</v>
      </c>
      <c r="K307" t="n">
        <v>0</v>
      </c>
      <c r="L307" t="n">
        <v>0</v>
      </c>
      <c r="M307">
        <f>F307+G307+H307+K307-I307-J307-L307</f>
        <v/>
      </c>
      <c r="N307" t="inlineStr">
        <is>
          <t>NO APLICA</t>
        </is>
      </c>
      <c r="O307" t="n">
        <v>5</v>
      </c>
      <c r="P307">
        <f>IF(M307&lt;0, "ERROR: SOBREGIRO", IF(M307=0, "SIN EXISTENCIAS", IF(M307&lt;=O307, "STOCK BAJO", "STOCK NORMAL")))</f>
        <v/>
      </c>
    </row>
    <row r="308">
      <c r="A308" t="n">
        <v>7757</v>
      </c>
      <c r="B308" t="inlineStr">
        <is>
          <t>CONDULETA CC 1" INTERIOR</t>
        </is>
      </c>
      <c r="C308" t="inlineStr">
        <is>
          <t>Materiales</t>
        </is>
      </c>
      <c r="D308" t="inlineStr">
        <is>
          <t>Unidad</t>
        </is>
      </c>
      <c r="E308" t="inlineStr">
        <is>
          <t>CDS</t>
        </is>
      </c>
      <c r="F308" t="n">
        <v>12</v>
      </c>
      <c r="G308" t="n">
        <v>0</v>
      </c>
      <c r="H308" t="n">
        <v>0</v>
      </c>
      <c r="I308" t="n">
        <v>0</v>
      </c>
      <c r="J308" t="n">
        <v>0</v>
      </c>
      <c r="K308" t="n">
        <v>0</v>
      </c>
      <c r="L308" t="n">
        <v>0</v>
      </c>
      <c r="M308">
        <f>F308+G308+H308+K308-I308-J308-L308</f>
        <v/>
      </c>
      <c r="N308" t="inlineStr">
        <is>
          <t>NO APLICA</t>
        </is>
      </c>
      <c r="O308" t="n">
        <v>5</v>
      </c>
      <c r="P308">
        <f>IF(M308&lt;0, "ERROR: SOBREGIRO", IF(M308=0, "SIN EXISTENCIAS", IF(M308&lt;=O308, "STOCK BAJO", "STOCK NORMAL")))</f>
        <v/>
      </c>
    </row>
    <row r="309">
      <c r="A309" t="n">
        <v>7759</v>
      </c>
      <c r="B309" t="inlineStr">
        <is>
          <t>CONDULETA CC 1/2" INTERIOR</t>
        </is>
      </c>
      <c r="C309" t="inlineStr">
        <is>
          <t>Materiales</t>
        </is>
      </c>
      <c r="D309" t="inlineStr">
        <is>
          <t>Unidad</t>
        </is>
      </c>
      <c r="E309" t="inlineStr">
        <is>
          <t>CDS</t>
        </is>
      </c>
      <c r="F309" t="n">
        <v>0</v>
      </c>
      <c r="G309" t="n">
        <v>0</v>
      </c>
      <c r="H309" t="n">
        <v>0</v>
      </c>
      <c r="I309" t="n">
        <v>0</v>
      </c>
      <c r="J309" t="n">
        <v>0</v>
      </c>
      <c r="K309" t="n">
        <v>0</v>
      </c>
      <c r="L309" t="n">
        <v>0</v>
      </c>
      <c r="M309">
        <f>F309+G309+H309+K309-I309-J309-L309</f>
        <v/>
      </c>
      <c r="N309" t="inlineStr">
        <is>
          <t>NO APLICA</t>
        </is>
      </c>
      <c r="O309" t="n">
        <v>5</v>
      </c>
      <c r="P309">
        <f>IF(M309&lt;0, "ERROR: SOBREGIRO", IF(M309=0, "SIN EXISTENCIAS", IF(M309&lt;=O309, "STOCK BAJO", "STOCK NORMAL")))</f>
        <v/>
      </c>
    </row>
    <row r="310">
      <c r="A310" t="n">
        <v>7760</v>
      </c>
      <c r="B310" t="inlineStr">
        <is>
          <t>CONDULETA CC 2" INTEMPERIE</t>
        </is>
      </c>
      <c r="C310" t="inlineStr">
        <is>
          <t>Materiales</t>
        </is>
      </c>
      <c r="D310" t="inlineStr">
        <is>
          <t>Unidad</t>
        </is>
      </c>
      <c r="E310" t="inlineStr">
        <is>
          <t>CDS</t>
        </is>
      </c>
      <c r="F310" t="n">
        <v>5</v>
      </c>
      <c r="G310" t="n">
        <v>0</v>
      </c>
      <c r="H310" t="n">
        <v>0</v>
      </c>
      <c r="I310" t="n">
        <v>0</v>
      </c>
      <c r="J310" t="n">
        <v>0</v>
      </c>
      <c r="K310" t="n">
        <v>0</v>
      </c>
      <c r="L310" t="n">
        <v>0</v>
      </c>
      <c r="M310">
        <f>F310+G310+H310+K310-I310-J310-L310</f>
        <v/>
      </c>
      <c r="N310" t="inlineStr">
        <is>
          <t>NO APLICA</t>
        </is>
      </c>
      <c r="O310" t="n">
        <v>5</v>
      </c>
      <c r="P310">
        <f>IF(M310&lt;0, "ERROR: SOBREGIRO", IF(M310=0, "SIN EXISTENCIAS", IF(M310&lt;=O310, "STOCK BAJO", "STOCK NORMAL")))</f>
        <v/>
      </c>
    </row>
    <row r="311">
      <c r="A311" t="n">
        <v>7761</v>
      </c>
      <c r="B311" t="inlineStr">
        <is>
          <t>CONDULETA CC 2" INTERIOR</t>
        </is>
      </c>
      <c r="C311" t="inlineStr">
        <is>
          <t>Materiales</t>
        </is>
      </c>
      <c r="D311" t="inlineStr">
        <is>
          <t>Unidad</t>
        </is>
      </c>
      <c r="E311" t="inlineStr">
        <is>
          <t>CDS</t>
        </is>
      </c>
      <c r="F311" t="n">
        <v>6</v>
      </c>
      <c r="G311" t="n">
        <v>0</v>
      </c>
      <c r="H311" t="n">
        <v>0</v>
      </c>
      <c r="I311" t="n">
        <v>0</v>
      </c>
      <c r="J311" t="n">
        <v>0</v>
      </c>
      <c r="K311" t="n">
        <v>0</v>
      </c>
      <c r="L311" t="n">
        <v>0</v>
      </c>
      <c r="M311">
        <f>F311+G311+H311+K311-I311-J311-L311</f>
        <v/>
      </c>
      <c r="N311" t="inlineStr">
        <is>
          <t>NO APLICA</t>
        </is>
      </c>
      <c r="O311" t="n">
        <v>5</v>
      </c>
      <c r="P311">
        <f>IF(M311&lt;0, "ERROR: SOBREGIRO", IF(M311=0, "SIN EXISTENCIAS", IF(M311&lt;=O311, "STOCK BAJO", "STOCK NORMAL")))</f>
        <v/>
      </c>
    </row>
    <row r="312">
      <c r="A312" t="n">
        <v>7762</v>
      </c>
      <c r="B312" t="inlineStr">
        <is>
          <t>CONDULETA CC 3/4" INTEMPERIE</t>
        </is>
      </c>
      <c r="C312" t="inlineStr">
        <is>
          <t>Materiales</t>
        </is>
      </c>
      <c r="D312" t="inlineStr">
        <is>
          <t>Unidad</t>
        </is>
      </c>
      <c r="E312" t="inlineStr">
        <is>
          <t>CDS</t>
        </is>
      </c>
      <c r="F312" t="n">
        <v>18</v>
      </c>
      <c r="G312" t="n">
        <v>0</v>
      </c>
      <c r="H312" t="n">
        <v>0</v>
      </c>
      <c r="I312" t="n">
        <v>0</v>
      </c>
      <c r="J312" t="n">
        <v>0</v>
      </c>
      <c r="K312" t="n">
        <v>0</v>
      </c>
      <c r="L312" t="n">
        <v>0</v>
      </c>
      <c r="M312">
        <f>F312+G312+H312+K312-I312-J312-L312</f>
        <v/>
      </c>
      <c r="N312" t="inlineStr">
        <is>
          <t>NO APLICA</t>
        </is>
      </c>
      <c r="O312" t="n">
        <v>5</v>
      </c>
      <c r="P312">
        <f>IF(M312&lt;0, "ERROR: SOBREGIRO", IF(M312=0, "SIN EXISTENCIAS", IF(M312&lt;=O312, "STOCK BAJO", "STOCK NORMAL")))</f>
        <v/>
      </c>
    </row>
    <row r="313">
      <c r="A313" t="n">
        <v>7763</v>
      </c>
      <c r="B313" t="inlineStr">
        <is>
          <t>CONDULETA CC 3/4" INTERIOR</t>
        </is>
      </c>
      <c r="C313" t="inlineStr">
        <is>
          <t>Materiales</t>
        </is>
      </c>
      <c r="D313" t="inlineStr">
        <is>
          <t>Unidad</t>
        </is>
      </c>
      <c r="E313" t="inlineStr">
        <is>
          <t>CDS</t>
        </is>
      </c>
      <c r="F313" t="n">
        <v>33</v>
      </c>
      <c r="G313" t="n">
        <v>0</v>
      </c>
      <c r="H313" t="n">
        <v>0</v>
      </c>
      <c r="I313" t="n">
        <v>0</v>
      </c>
      <c r="J313" t="n">
        <v>0</v>
      </c>
      <c r="K313" t="n">
        <v>0</v>
      </c>
      <c r="L313" t="n">
        <v>0</v>
      </c>
      <c r="M313">
        <f>F313+G313+H313+K313-I313-J313-L313</f>
        <v/>
      </c>
      <c r="N313" t="inlineStr">
        <is>
          <t>NO APLICA</t>
        </is>
      </c>
      <c r="O313" t="n">
        <v>5</v>
      </c>
      <c r="P313">
        <f>IF(M313&lt;0, "ERROR: SOBREGIRO", IF(M313=0, "SIN EXISTENCIAS", IF(M313&lt;=O313, "STOCK BAJO", "STOCK NORMAL")))</f>
        <v/>
      </c>
    </row>
    <row r="314">
      <c r="A314" t="n">
        <v>7764</v>
      </c>
      <c r="B314" t="inlineStr">
        <is>
          <t>CONDULETA LB 1 1/2" INTEMPERIE</t>
        </is>
      </c>
      <c r="C314" t="inlineStr">
        <is>
          <t>Materiales</t>
        </is>
      </c>
      <c r="D314" t="inlineStr">
        <is>
          <t>Unidad</t>
        </is>
      </c>
      <c r="E314" t="inlineStr">
        <is>
          <t>CDS</t>
        </is>
      </c>
      <c r="F314" t="n">
        <v>15</v>
      </c>
      <c r="G314" t="n">
        <v>0</v>
      </c>
      <c r="H314" t="n">
        <v>0</v>
      </c>
      <c r="I314" t="n">
        <v>0</v>
      </c>
      <c r="J314" t="n">
        <v>0</v>
      </c>
      <c r="K314" t="n">
        <v>0</v>
      </c>
      <c r="L314" t="n">
        <v>0</v>
      </c>
      <c r="M314">
        <f>F314+G314+H314+K314-I314-J314-L314</f>
        <v/>
      </c>
      <c r="N314" t="inlineStr">
        <is>
          <t>NO APLICA</t>
        </is>
      </c>
      <c r="O314" t="n">
        <v>5</v>
      </c>
      <c r="P314">
        <f>IF(M314&lt;0, "ERROR: SOBREGIRO", IF(M314=0, "SIN EXISTENCIAS", IF(M314&lt;=O314, "STOCK BAJO", "STOCK NORMAL")))</f>
        <v/>
      </c>
    </row>
    <row r="315">
      <c r="A315" t="n">
        <v>7765</v>
      </c>
      <c r="B315" t="inlineStr">
        <is>
          <t>CONDULETA LB 1 1/2" INTERIOR</t>
        </is>
      </c>
      <c r="C315" t="inlineStr">
        <is>
          <t>Materiales</t>
        </is>
      </c>
      <c r="D315" t="inlineStr">
        <is>
          <t>Unidad</t>
        </is>
      </c>
      <c r="E315" t="inlineStr">
        <is>
          <t>CDS</t>
        </is>
      </c>
      <c r="F315" t="n">
        <v>11</v>
      </c>
      <c r="G315" t="n">
        <v>0</v>
      </c>
      <c r="H315" t="n">
        <v>0</v>
      </c>
      <c r="I315" t="n">
        <v>0</v>
      </c>
      <c r="J315" t="n">
        <v>0</v>
      </c>
      <c r="K315" t="n">
        <v>0</v>
      </c>
      <c r="L315" t="n">
        <v>0</v>
      </c>
      <c r="M315">
        <f>F315+G315+H315+K315-I315-J315-L315</f>
        <v/>
      </c>
      <c r="N315" t="inlineStr">
        <is>
          <t>NO APLICA</t>
        </is>
      </c>
      <c r="O315" t="n">
        <v>5</v>
      </c>
      <c r="P315">
        <f>IF(M315&lt;0, "ERROR: SOBREGIRO", IF(M315=0, "SIN EXISTENCIAS", IF(M315&lt;=O315, "STOCK BAJO", "STOCK NORMAL")))</f>
        <v/>
      </c>
    </row>
    <row r="316">
      <c r="A316" t="n">
        <v>7766</v>
      </c>
      <c r="B316" t="inlineStr">
        <is>
          <t>CONDULETA LB 1 1/4" INTEMPERIE</t>
        </is>
      </c>
      <c r="C316" t="inlineStr">
        <is>
          <t>Materiales</t>
        </is>
      </c>
      <c r="D316" t="inlineStr">
        <is>
          <t>Unidad</t>
        </is>
      </c>
      <c r="E316" t="inlineStr">
        <is>
          <t>CDS</t>
        </is>
      </c>
      <c r="F316" t="n">
        <v>1</v>
      </c>
      <c r="G316" t="n">
        <v>0</v>
      </c>
      <c r="H316" t="n">
        <v>0</v>
      </c>
      <c r="I316" t="n">
        <v>0</v>
      </c>
      <c r="J316" t="n">
        <v>0</v>
      </c>
      <c r="K316" t="n">
        <v>0</v>
      </c>
      <c r="L316" t="n">
        <v>0</v>
      </c>
      <c r="M316">
        <f>F316+G316+H316+K316-I316-J316-L316</f>
        <v/>
      </c>
      <c r="N316" t="inlineStr">
        <is>
          <t>NO APLICA</t>
        </is>
      </c>
      <c r="O316" t="n">
        <v>5</v>
      </c>
      <c r="P316">
        <f>IF(M316&lt;0, "ERROR: SOBREGIRO", IF(M316=0, "SIN EXISTENCIAS", IF(M316&lt;=O316, "STOCK BAJO", "STOCK NORMAL")))</f>
        <v/>
      </c>
    </row>
    <row r="317">
      <c r="A317" t="n">
        <v>7767</v>
      </c>
      <c r="B317" t="inlineStr">
        <is>
          <t>CONDULETA LB 1 1/4" INTERIOR</t>
        </is>
      </c>
      <c r="C317" t="inlineStr">
        <is>
          <t>Materiales</t>
        </is>
      </c>
      <c r="D317" t="inlineStr">
        <is>
          <t>Unidad</t>
        </is>
      </c>
      <c r="E317" t="inlineStr">
        <is>
          <t>CDS</t>
        </is>
      </c>
      <c r="F317" t="n">
        <v>0</v>
      </c>
      <c r="G317" t="n">
        <v>0</v>
      </c>
      <c r="H317" t="n">
        <v>0</v>
      </c>
      <c r="I317" t="n">
        <v>0</v>
      </c>
      <c r="J317" t="n">
        <v>0</v>
      </c>
      <c r="K317" t="n">
        <v>0</v>
      </c>
      <c r="L317" t="n">
        <v>0</v>
      </c>
      <c r="M317">
        <f>F317+G317+H317+K317-I317-J317-L317</f>
        <v/>
      </c>
      <c r="N317" t="inlineStr">
        <is>
          <t>NO APLICA</t>
        </is>
      </c>
      <c r="O317" t="n">
        <v>5</v>
      </c>
      <c r="P317">
        <f>IF(M317&lt;0, "ERROR: SOBREGIRO", IF(M317=0, "SIN EXISTENCIAS", IF(M317&lt;=O317, "STOCK BAJO", "STOCK NORMAL")))</f>
        <v/>
      </c>
    </row>
    <row r="318">
      <c r="A318" t="n">
        <v>7768</v>
      </c>
      <c r="B318" t="inlineStr">
        <is>
          <t>CONDULETA LB 1" INTEMPERIE</t>
        </is>
      </c>
      <c r="C318" t="inlineStr">
        <is>
          <t>Materiales</t>
        </is>
      </c>
      <c r="D318" t="inlineStr">
        <is>
          <t>Unidad</t>
        </is>
      </c>
      <c r="E318" t="inlineStr">
        <is>
          <t>CDS</t>
        </is>
      </c>
      <c r="F318" t="n">
        <v>50</v>
      </c>
      <c r="G318" t="n">
        <v>0</v>
      </c>
      <c r="H318" t="n">
        <v>0</v>
      </c>
      <c r="I318" t="n">
        <v>0</v>
      </c>
      <c r="J318" t="n">
        <v>0</v>
      </c>
      <c r="K318" t="n">
        <v>0</v>
      </c>
      <c r="L318" t="n">
        <v>0</v>
      </c>
      <c r="M318">
        <f>F318+G318+H318+K318-I318-J318-L318</f>
        <v/>
      </c>
      <c r="N318" t="inlineStr">
        <is>
          <t>NO APLICA</t>
        </is>
      </c>
      <c r="O318" t="n">
        <v>5</v>
      </c>
      <c r="P318">
        <f>IF(M318&lt;0, "ERROR: SOBREGIRO", IF(M318=0, "SIN EXISTENCIAS", IF(M318&lt;=O318, "STOCK BAJO", "STOCK NORMAL")))</f>
        <v/>
      </c>
    </row>
    <row r="319">
      <c r="A319" t="n">
        <v>7769</v>
      </c>
      <c r="B319" t="inlineStr">
        <is>
          <t>CONDULETA LB 1" INTERIOR</t>
        </is>
      </c>
      <c r="C319" t="inlineStr">
        <is>
          <t>Materiales</t>
        </is>
      </c>
      <c r="D319" t="inlineStr">
        <is>
          <t>Unidad</t>
        </is>
      </c>
      <c r="E319" t="inlineStr">
        <is>
          <t>CDS</t>
        </is>
      </c>
      <c r="F319" t="n">
        <v>63</v>
      </c>
      <c r="G319" t="n">
        <v>0</v>
      </c>
      <c r="H319" t="n">
        <v>0</v>
      </c>
      <c r="I319" t="n">
        <v>0</v>
      </c>
      <c r="J319" t="n">
        <v>0</v>
      </c>
      <c r="K319" t="n">
        <v>0</v>
      </c>
      <c r="L319" t="n">
        <v>0</v>
      </c>
      <c r="M319">
        <f>F319+G319+H319+K319-I319-J319-L319</f>
        <v/>
      </c>
      <c r="N319" t="inlineStr">
        <is>
          <t>NO APLICA</t>
        </is>
      </c>
      <c r="O319" t="n">
        <v>5</v>
      </c>
      <c r="P319">
        <f>IF(M319&lt;0, "ERROR: SOBREGIRO", IF(M319=0, "SIN EXISTENCIAS", IF(M319&lt;=O319, "STOCK BAJO", "STOCK NORMAL")))</f>
        <v/>
      </c>
    </row>
    <row r="320">
      <c r="A320" t="n">
        <v>7770</v>
      </c>
      <c r="B320" t="inlineStr">
        <is>
          <t>CONDULETA LB 1/2" INTEMPERIE</t>
        </is>
      </c>
      <c r="C320" t="inlineStr">
        <is>
          <t>Materiales</t>
        </is>
      </c>
      <c r="D320" t="inlineStr">
        <is>
          <t>Unidad</t>
        </is>
      </c>
      <c r="E320" t="inlineStr">
        <is>
          <t>CDS</t>
        </is>
      </c>
      <c r="F320" t="n">
        <v>19</v>
      </c>
      <c r="G320" t="n">
        <v>0</v>
      </c>
      <c r="H320" t="n">
        <v>0</v>
      </c>
      <c r="I320" t="n">
        <v>0</v>
      </c>
      <c r="J320" t="n">
        <v>0</v>
      </c>
      <c r="K320" t="n">
        <v>0</v>
      </c>
      <c r="L320" t="n">
        <v>0</v>
      </c>
      <c r="M320">
        <f>F320+G320+H320+K320-I320-J320-L320</f>
        <v/>
      </c>
      <c r="N320" t="inlineStr">
        <is>
          <t>NO APLICA</t>
        </is>
      </c>
      <c r="O320" t="n">
        <v>5</v>
      </c>
      <c r="P320">
        <f>IF(M320&lt;0, "ERROR: SOBREGIRO", IF(M320=0, "SIN EXISTENCIAS", IF(M320&lt;=O320, "STOCK BAJO", "STOCK NORMAL")))</f>
        <v/>
      </c>
    </row>
    <row r="321">
      <c r="A321" t="n">
        <v>7771</v>
      </c>
      <c r="B321" t="inlineStr">
        <is>
          <t>CONDULETA LB 1/2" INTERIOR</t>
        </is>
      </c>
      <c r="C321" t="inlineStr">
        <is>
          <t>Materiales</t>
        </is>
      </c>
      <c r="D321" t="inlineStr">
        <is>
          <t>Unidad</t>
        </is>
      </c>
      <c r="E321" t="inlineStr">
        <is>
          <t>CDS</t>
        </is>
      </c>
      <c r="F321" t="n">
        <v>3</v>
      </c>
      <c r="G321" t="n">
        <v>0</v>
      </c>
      <c r="H321" t="n">
        <v>0</v>
      </c>
      <c r="I321" t="n">
        <v>0</v>
      </c>
      <c r="J321" t="n">
        <v>0</v>
      </c>
      <c r="K321" t="n">
        <v>0</v>
      </c>
      <c r="L321" t="n">
        <v>0</v>
      </c>
      <c r="M321">
        <f>F321+G321+H321+K321-I321-J321-L321</f>
        <v/>
      </c>
      <c r="N321" t="inlineStr">
        <is>
          <t>NO APLICA</t>
        </is>
      </c>
      <c r="O321" t="n">
        <v>5</v>
      </c>
      <c r="P321">
        <f>IF(M321&lt;0, "ERROR: SOBREGIRO", IF(M321=0, "SIN EXISTENCIAS", IF(M321&lt;=O321, "STOCK BAJO", "STOCK NORMAL")))</f>
        <v/>
      </c>
    </row>
    <row r="322">
      <c r="A322" t="n">
        <v>7772</v>
      </c>
      <c r="B322" t="inlineStr">
        <is>
          <t>CONDULETA LB 2" INTEMPERIE</t>
        </is>
      </c>
      <c r="C322" t="inlineStr">
        <is>
          <t>Materiales</t>
        </is>
      </c>
      <c r="D322" t="inlineStr">
        <is>
          <t>Unidad</t>
        </is>
      </c>
      <c r="E322" t="inlineStr">
        <is>
          <t>CDS</t>
        </is>
      </c>
      <c r="F322" t="n">
        <v>24</v>
      </c>
      <c r="G322" t="n">
        <v>0</v>
      </c>
      <c r="H322" t="n">
        <v>0</v>
      </c>
      <c r="I322" t="n">
        <v>0</v>
      </c>
      <c r="J322" t="n">
        <v>0</v>
      </c>
      <c r="K322" t="n">
        <v>0</v>
      </c>
      <c r="L322" t="n">
        <v>0</v>
      </c>
      <c r="M322">
        <f>F322+G322+H322+K322-I322-J322-L322</f>
        <v/>
      </c>
      <c r="N322" t="inlineStr">
        <is>
          <t>NO APLICA</t>
        </is>
      </c>
      <c r="O322" t="n">
        <v>5</v>
      </c>
      <c r="P322">
        <f>IF(M322&lt;0, "ERROR: SOBREGIRO", IF(M322=0, "SIN EXISTENCIAS", IF(M322&lt;=O322, "STOCK BAJO", "STOCK NORMAL")))</f>
        <v/>
      </c>
    </row>
    <row r="323">
      <c r="A323" t="n">
        <v>7773</v>
      </c>
      <c r="B323" t="inlineStr">
        <is>
          <t>CONDULETA LB 2" INTERIOR</t>
        </is>
      </c>
      <c r="C323" t="inlineStr">
        <is>
          <t>Materiales</t>
        </is>
      </c>
      <c r="D323" t="inlineStr">
        <is>
          <t>Unidad</t>
        </is>
      </c>
      <c r="E323" t="inlineStr">
        <is>
          <t>CDS</t>
        </is>
      </c>
      <c r="F323" t="n">
        <v>5</v>
      </c>
      <c r="G323" t="n">
        <v>0</v>
      </c>
      <c r="H323" t="n">
        <v>0</v>
      </c>
      <c r="I323" t="n">
        <v>0</v>
      </c>
      <c r="J323" t="n">
        <v>0</v>
      </c>
      <c r="K323" t="n">
        <v>0</v>
      </c>
      <c r="L323" t="n">
        <v>0</v>
      </c>
      <c r="M323">
        <f>F323+G323+H323+K323-I323-J323-L323</f>
        <v/>
      </c>
      <c r="N323" t="inlineStr">
        <is>
          <t>NO APLICA</t>
        </is>
      </c>
      <c r="O323" t="n">
        <v>5</v>
      </c>
      <c r="P323">
        <f>IF(M323&lt;0, "ERROR: SOBREGIRO", IF(M323=0, "SIN EXISTENCIAS", IF(M323&lt;=O323, "STOCK BAJO", "STOCK NORMAL")))</f>
        <v/>
      </c>
    </row>
    <row r="324">
      <c r="A324" t="n">
        <v>7774</v>
      </c>
      <c r="B324" t="inlineStr">
        <is>
          <t>CONDULETA LB 3/4" INTEMPERIE</t>
        </is>
      </c>
      <c r="C324" t="inlineStr">
        <is>
          <t>Materiales</t>
        </is>
      </c>
      <c r="D324" t="inlineStr">
        <is>
          <t>Unidad</t>
        </is>
      </c>
      <c r="E324" t="inlineStr">
        <is>
          <t>CDS</t>
        </is>
      </c>
      <c r="F324" t="n">
        <v>65</v>
      </c>
      <c r="G324" t="n">
        <v>0</v>
      </c>
      <c r="H324" t="n">
        <v>0</v>
      </c>
      <c r="I324" t="n">
        <v>0</v>
      </c>
      <c r="J324" t="n">
        <v>0</v>
      </c>
      <c r="K324" t="n">
        <v>0</v>
      </c>
      <c r="L324" t="n">
        <v>0</v>
      </c>
      <c r="M324">
        <f>F324+G324+H324+K324-I324-J324-L324</f>
        <v/>
      </c>
      <c r="N324" t="inlineStr">
        <is>
          <t>NO APLICA</t>
        </is>
      </c>
      <c r="O324" t="n">
        <v>5</v>
      </c>
      <c r="P324">
        <f>IF(M324&lt;0, "ERROR: SOBREGIRO", IF(M324=0, "SIN EXISTENCIAS", IF(M324&lt;=O324, "STOCK BAJO", "STOCK NORMAL")))</f>
        <v/>
      </c>
    </row>
    <row r="325">
      <c r="A325" t="n">
        <v>7775</v>
      </c>
      <c r="B325" t="inlineStr">
        <is>
          <t>CONDULETA LB 3/4" INTERIOR</t>
        </is>
      </c>
      <c r="C325" t="inlineStr">
        <is>
          <t>Materiales</t>
        </is>
      </c>
      <c r="D325" t="inlineStr">
        <is>
          <t>Unidad</t>
        </is>
      </c>
      <c r="E325" t="inlineStr">
        <is>
          <t>CDS</t>
        </is>
      </c>
      <c r="F325" t="n">
        <v>21</v>
      </c>
      <c r="G325" t="n">
        <v>0</v>
      </c>
      <c r="H325" t="n">
        <v>0</v>
      </c>
      <c r="I325" t="n">
        <v>0</v>
      </c>
      <c r="J325" t="n">
        <v>0</v>
      </c>
      <c r="K325" t="n">
        <v>0</v>
      </c>
      <c r="L325" t="n">
        <v>0</v>
      </c>
      <c r="M325">
        <f>F325+G325+H325+K325-I325-J325-L325</f>
        <v/>
      </c>
      <c r="N325" t="inlineStr">
        <is>
          <t>NO APLICA</t>
        </is>
      </c>
      <c r="O325" t="n">
        <v>5</v>
      </c>
      <c r="P325">
        <f>IF(M325&lt;0, "ERROR: SOBREGIRO", IF(M325=0, "SIN EXISTENCIAS", IF(M325&lt;=O325, "STOCK BAJO", "STOCK NORMAL")))</f>
        <v/>
      </c>
    </row>
    <row r="326">
      <c r="A326" t="n">
        <v>7776</v>
      </c>
      <c r="B326" t="inlineStr">
        <is>
          <t>CONDULETA LL 1 1/2" INTEMPERIE</t>
        </is>
      </c>
      <c r="C326" t="inlineStr">
        <is>
          <t>Materiales</t>
        </is>
      </c>
      <c r="D326" t="inlineStr">
        <is>
          <t>Unidad</t>
        </is>
      </c>
      <c r="E326" t="inlineStr">
        <is>
          <t>CDS</t>
        </is>
      </c>
      <c r="F326" t="n">
        <v>8</v>
      </c>
      <c r="G326" t="n">
        <v>0</v>
      </c>
      <c r="H326" t="n">
        <v>0</v>
      </c>
      <c r="I326" t="n">
        <v>0</v>
      </c>
      <c r="J326" t="n">
        <v>0</v>
      </c>
      <c r="K326" t="n">
        <v>0</v>
      </c>
      <c r="L326" t="n">
        <v>0</v>
      </c>
      <c r="M326">
        <f>F326+G326+H326+K326-I326-J326-L326</f>
        <v/>
      </c>
      <c r="N326" t="inlineStr">
        <is>
          <t>NO APLICA</t>
        </is>
      </c>
      <c r="O326" t="n">
        <v>5</v>
      </c>
      <c r="P326">
        <f>IF(M326&lt;0, "ERROR: SOBREGIRO", IF(M326=0, "SIN EXISTENCIAS", IF(M326&lt;=O326, "STOCK BAJO", "STOCK NORMAL")))</f>
        <v/>
      </c>
    </row>
    <row r="327">
      <c r="A327" t="n">
        <v>7777</v>
      </c>
      <c r="B327" t="inlineStr">
        <is>
          <t>CONDULETA LL 1 1/2" INTERIOR</t>
        </is>
      </c>
      <c r="C327" t="inlineStr">
        <is>
          <t>Materiales</t>
        </is>
      </c>
      <c r="D327" t="inlineStr">
        <is>
          <t>Unidad</t>
        </is>
      </c>
      <c r="E327" t="inlineStr">
        <is>
          <t>CDS</t>
        </is>
      </c>
      <c r="F327" t="n">
        <v>4</v>
      </c>
      <c r="G327" t="n">
        <v>0</v>
      </c>
      <c r="H327" t="n">
        <v>0</v>
      </c>
      <c r="I327" t="n">
        <v>0</v>
      </c>
      <c r="J327" t="n">
        <v>0</v>
      </c>
      <c r="K327" t="n">
        <v>0</v>
      </c>
      <c r="L327" t="n">
        <v>0</v>
      </c>
      <c r="M327">
        <f>F327+G327+H327+K327-I327-J327-L327</f>
        <v/>
      </c>
      <c r="N327" t="inlineStr">
        <is>
          <t>NO APLICA</t>
        </is>
      </c>
      <c r="O327" t="n">
        <v>5</v>
      </c>
      <c r="P327">
        <f>IF(M327&lt;0, "ERROR: SOBREGIRO", IF(M327=0, "SIN EXISTENCIAS", IF(M327&lt;=O327, "STOCK BAJO", "STOCK NORMAL")))</f>
        <v/>
      </c>
    </row>
    <row r="328">
      <c r="A328" t="n">
        <v>7778</v>
      </c>
      <c r="B328" t="inlineStr">
        <is>
          <t>B</t>
        </is>
      </c>
      <c r="C328" t="inlineStr">
        <is>
          <t>Materiales</t>
        </is>
      </c>
      <c r="D328" t="inlineStr">
        <is>
          <t>Unidad</t>
        </is>
      </c>
      <c r="E328" t="inlineStr">
        <is>
          <t>CDS</t>
        </is>
      </c>
      <c r="F328" t="n">
        <v>1</v>
      </c>
      <c r="G328" t="n">
        <v>0</v>
      </c>
      <c r="H328" t="n">
        <v>0</v>
      </c>
      <c r="I328" t="n">
        <v>0</v>
      </c>
      <c r="J328" t="n">
        <v>0</v>
      </c>
      <c r="K328" t="n">
        <v>0</v>
      </c>
      <c r="L328" t="n">
        <v>0</v>
      </c>
      <c r="M328">
        <f>F328+G328+H328+K328-I328-J328-L328</f>
        <v/>
      </c>
      <c r="N328" t="inlineStr">
        <is>
          <t>NO APLICA</t>
        </is>
      </c>
      <c r="O328" t="n">
        <v>5</v>
      </c>
      <c r="P328">
        <f>IF(M328&lt;0, "ERROR: SOBREGIRO", IF(M328=0, "SIN EXISTENCIAS", IF(M328&lt;=O328, "STOCK BAJO", "STOCK NORMAL")))</f>
        <v/>
      </c>
    </row>
    <row r="329">
      <c r="A329" t="n">
        <v>7779</v>
      </c>
      <c r="B329" t="inlineStr">
        <is>
          <t>CONDULETA LL 1 1/4" INTERIOR</t>
        </is>
      </c>
      <c r="C329" t="inlineStr">
        <is>
          <t>Materiales</t>
        </is>
      </c>
      <c r="D329" t="inlineStr">
        <is>
          <t>Unidad</t>
        </is>
      </c>
      <c r="E329" t="inlineStr">
        <is>
          <t>CDS</t>
        </is>
      </c>
      <c r="F329" t="n">
        <v>0</v>
      </c>
      <c r="G329" t="n">
        <v>0</v>
      </c>
      <c r="H329" t="n">
        <v>0</v>
      </c>
      <c r="I329" t="n">
        <v>0</v>
      </c>
      <c r="J329" t="n">
        <v>0</v>
      </c>
      <c r="K329" t="n">
        <v>0</v>
      </c>
      <c r="L329" t="n">
        <v>0</v>
      </c>
      <c r="M329">
        <f>F329+G329+H329+K329-I329-J329-L329</f>
        <v/>
      </c>
      <c r="N329" t="inlineStr">
        <is>
          <t>NO APLICA</t>
        </is>
      </c>
      <c r="O329" t="n">
        <v>5</v>
      </c>
      <c r="P329">
        <f>IF(M329&lt;0, "ERROR: SOBREGIRO", IF(M329=0, "SIN EXISTENCIAS", IF(M329&lt;=O329, "STOCK BAJO", "STOCK NORMAL")))</f>
        <v/>
      </c>
    </row>
    <row r="330">
      <c r="A330" t="n">
        <v>7780</v>
      </c>
      <c r="B330" t="inlineStr">
        <is>
          <t>CONDULETA LL 1" EXTERIOR</t>
        </is>
      </c>
      <c r="C330" t="inlineStr">
        <is>
          <t>Materiales</t>
        </is>
      </c>
      <c r="D330" t="inlineStr">
        <is>
          <t>Unidad</t>
        </is>
      </c>
      <c r="E330" t="inlineStr">
        <is>
          <t>CDS</t>
        </is>
      </c>
      <c r="F330" t="n">
        <v>14</v>
      </c>
      <c r="G330" t="n">
        <v>0</v>
      </c>
      <c r="H330" t="n">
        <v>0</v>
      </c>
      <c r="I330" t="n">
        <v>0</v>
      </c>
      <c r="J330" t="n">
        <v>0</v>
      </c>
      <c r="K330" t="n">
        <v>0</v>
      </c>
      <c r="L330" t="n">
        <v>0</v>
      </c>
      <c r="M330">
        <f>F330+G330+H330+K330-I330-J330-L330</f>
        <v/>
      </c>
      <c r="N330" t="inlineStr">
        <is>
          <t>NO APLICA</t>
        </is>
      </c>
      <c r="O330" t="n">
        <v>5</v>
      </c>
      <c r="P330">
        <f>IF(M330&lt;0, "ERROR: SOBREGIRO", IF(M330=0, "SIN EXISTENCIAS", IF(M330&lt;=O330, "STOCK BAJO", "STOCK NORMAL")))</f>
        <v/>
      </c>
    </row>
    <row r="331">
      <c r="A331" t="n">
        <v>7781</v>
      </c>
      <c r="B331" t="inlineStr">
        <is>
          <t>CONDULETA LL 1" INTERIOR</t>
        </is>
      </c>
      <c r="C331" t="inlineStr">
        <is>
          <t>Materiales</t>
        </is>
      </c>
      <c r="D331" t="inlineStr">
        <is>
          <t>Unidad</t>
        </is>
      </c>
      <c r="E331" t="inlineStr">
        <is>
          <t>CDS</t>
        </is>
      </c>
      <c r="F331" t="n">
        <v>22</v>
      </c>
      <c r="G331" t="n">
        <v>0</v>
      </c>
      <c r="H331" t="n">
        <v>0</v>
      </c>
      <c r="I331" t="n">
        <v>0</v>
      </c>
      <c r="J331" t="n">
        <v>0</v>
      </c>
      <c r="K331" t="n">
        <v>0</v>
      </c>
      <c r="L331" t="n">
        <v>0</v>
      </c>
      <c r="M331">
        <f>F331+G331+H331+K331-I331-J331-L331</f>
        <v/>
      </c>
      <c r="N331" t="inlineStr">
        <is>
          <t>NO APLICA</t>
        </is>
      </c>
      <c r="O331" t="n">
        <v>5</v>
      </c>
      <c r="P331">
        <f>IF(M331&lt;0, "ERROR: SOBREGIRO", IF(M331=0, "SIN EXISTENCIAS", IF(M331&lt;=O331, "STOCK BAJO", "STOCK NORMAL")))</f>
        <v/>
      </c>
    </row>
    <row r="332">
      <c r="A332" t="n">
        <v>7784</v>
      </c>
      <c r="B332" t="inlineStr">
        <is>
          <t>CONDULETA LL 2" INTEMPERIE</t>
        </is>
      </c>
      <c r="C332" t="inlineStr">
        <is>
          <t>Materiales</t>
        </is>
      </c>
      <c r="D332" t="inlineStr">
        <is>
          <t>Unidad</t>
        </is>
      </c>
      <c r="E332" t="inlineStr">
        <is>
          <t>CDS</t>
        </is>
      </c>
      <c r="F332" t="n">
        <v>13</v>
      </c>
      <c r="G332" t="n">
        <v>0</v>
      </c>
      <c r="H332" t="n">
        <v>0</v>
      </c>
      <c r="I332" t="n">
        <v>0</v>
      </c>
      <c r="J332" t="n">
        <v>0</v>
      </c>
      <c r="K332" t="n">
        <v>0</v>
      </c>
      <c r="L332" t="n">
        <v>0</v>
      </c>
      <c r="M332">
        <f>F332+G332+H332+K332-I332-J332-L332</f>
        <v/>
      </c>
      <c r="N332" t="inlineStr">
        <is>
          <t>NO APLICA</t>
        </is>
      </c>
      <c r="O332" t="n">
        <v>5</v>
      </c>
      <c r="P332">
        <f>IF(M332&lt;0, "ERROR: SOBREGIRO", IF(M332=0, "SIN EXISTENCIAS", IF(M332&lt;=O332, "STOCK BAJO", "STOCK NORMAL")))</f>
        <v/>
      </c>
    </row>
    <row r="333">
      <c r="A333" t="n">
        <v>7785</v>
      </c>
      <c r="B333" t="inlineStr">
        <is>
          <t>CONDULETA LL 2" INTERIOR</t>
        </is>
      </c>
      <c r="C333" t="inlineStr">
        <is>
          <t>Materiales</t>
        </is>
      </c>
      <c r="D333" t="inlineStr">
        <is>
          <t>Unidad</t>
        </is>
      </c>
      <c r="E333" t="inlineStr">
        <is>
          <t>CDS</t>
        </is>
      </c>
      <c r="F333" t="n">
        <v>6</v>
      </c>
      <c r="G333" t="n">
        <v>0</v>
      </c>
      <c r="H333" t="n">
        <v>0</v>
      </c>
      <c r="I333" t="n">
        <v>0</v>
      </c>
      <c r="J333" t="n">
        <v>0</v>
      </c>
      <c r="K333" t="n">
        <v>0</v>
      </c>
      <c r="L333" t="n">
        <v>0</v>
      </c>
      <c r="M333">
        <f>F333+G333+H333+K333-I333-J333-L333</f>
        <v/>
      </c>
      <c r="N333" t="inlineStr">
        <is>
          <t>NO APLICA</t>
        </is>
      </c>
      <c r="O333" t="n">
        <v>5</v>
      </c>
      <c r="P333">
        <f>IF(M333&lt;0, "ERROR: SOBREGIRO", IF(M333=0, "SIN EXISTENCIAS", IF(M333&lt;=O333, "STOCK BAJO", "STOCK NORMAL")))</f>
        <v/>
      </c>
    </row>
    <row r="334">
      <c r="A334" t="n">
        <v>7786</v>
      </c>
      <c r="B334" t="inlineStr">
        <is>
          <t>CONDULETA LL 3/4" INTEMPERIE</t>
        </is>
      </c>
      <c r="C334" t="inlineStr">
        <is>
          <t>Materiales</t>
        </is>
      </c>
      <c r="D334" t="inlineStr">
        <is>
          <t>Unidad</t>
        </is>
      </c>
      <c r="E334" t="inlineStr">
        <is>
          <t>CDS</t>
        </is>
      </c>
      <c r="F334" t="n">
        <v>37</v>
      </c>
      <c r="G334" t="n">
        <v>0</v>
      </c>
      <c r="H334" t="n">
        <v>0</v>
      </c>
      <c r="I334" t="n">
        <v>0</v>
      </c>
      <c r="J334" t="n">
        <v>0</v>
      </c>
      <c r="K334" t="n">
        <v>0</v>
      </c>
      <c r="L334" t="n">
        <v>0</v>
      </c>
      <c r="M334">
        <f>F334+G334+H334+K334-I334-J334-L334</f>
        <v/>
      </c>
      <c r="N334" t="inlineStr">
        <is>
          <t>NO APLICA</t>
        </is>
      </c>
      <c r="O334" t="n">
        <v>5</v>
      </c>
      <c r="P334">
        <f>IF(M334&lt;0, "ERROR: SOBREGIRO", IF(M334=0, "SIN EXISTENCIAS", IF(M334&lt;=O334, "STOCK BAJO", "STOCK NORMAL")))</f>
        <v/>
      </c>
    </row>
    <row r="335">
      <c r="A335" t="n">
        <v>7787</v>
      </c>
      <c r="B335" t="inlineStr">
        <is>
          <t>CONDULETA LL 3/4" INTERIOR</t>
        </is>
      </c>
      <c r="C335" t="inlineStr">
        <is>
          <t>Materiales</t>
        </is>
      </c>
      <c r="D335" t="inlineStr">
        <is>
          <t>Unidad</t>
        </is>
      </c>
      <c r="E335" t="inlineStr">
        <is>
          <t>CDS</t>
        </is>
      </c>
      <c r="F335" t="n">
        <v>17</v>
      </c>
      <c r="G335" t="n">
        <v>0</v>
      </c>
      <c r="H335" t="n">
        <v>0</v>
      </c>
      <c r="I335" t="n">
        <v>0</v>
      </c>
      <c r="J335" t="n">
        <v>0</v>
      </c>
      <c r="K335" t="n">
        <v>0</v>
      </c>
      <c r="L335" t="n">
        <v>0</v>
      </c>
      <c r="M335">
        <f>F335+G335+H335+K335-I335-J335-L335</f>
        <v/>
      </c>
      <c r="N335" t="inlineStr">
        <is>
          <t>NO APLICA</t>
        </is>
      </c>
      <c r="O335" t="n">
        <v>5</v>
      </c>
      <c r="P335">
        <f>IF(M335&lt;0, "ERROR: SOBREGIRO", IF(M335=0, "SIN EXISTENCIAS", IF(M335&lt;=O335, "STOCK BAJO", "STOCK NORMAL")))</f>
        <v/>
      </c>
    </row>
    <row r="336">
      <c r="A336" t="n">
        <v>7788</v>
      </c>
      <c r="B336" t="inlineStr">
        <is>
          <t>CONDULETA LR 1 1/2" INTEMPERIE</t>
        </is>
      </c>
      <c r="C336" t="inlineStr">
        <is>
          <t>Materiales</t>
        </is>
      </c>
      <c r="D336" t="inlineStr">
        <is>
          <t>Unidad</t>
        </is>
      </c>
      <c r="E336" t="inlineStr">
        <is>
          <t>CDS</t>
        </is>
      </c>
      <c r="F336" t="n">
        <v>3</v>
      </c>
      <c r="G336" t="n">
        <v>0</v>
      </c>
      <c r="H336" t="n">
        <v>0</v>
      </c>
      <c r="I336" t="n">
        <v>0</v>
      </c>
      <c r="J336" t="n">
        <v>0</v>
      </c>
      <c r="K336" t="n">
        <v>0</v>
      </c>
      <c r="L336" t="n">
        <v>0</v>
      </c>
      <c r="M336">
        <f>F336+G336+H336+K336-I336-J336-L336</f>
        <v/>
      </c>
      <c r="N336" t="inlineStr">
        <is>
          <t>NO APLICA</t>
        </is>
      </c>
      <c r="O336" t="n">
        <v>5</v>
      </c>
      <c r="P336">
        <f>IF(M336&lt;0, "ERROR: SOBREGIRO", IF(M336=0, "SIN EXISTENCIAS", IF(M336&lt;=O336, "STOCK BAJO", "STOCK NORMAL")))</f>
        <v/>
      </c>
    </row>
    <row r="337">
      <c r="A337" t="n">
        <v>7789</v>
      </c>
      <c r="B337" t="inlineStr">
        <is>
          <t>CONDULETA LR 1 1/2" INTERIOR</t>
        </is>
      </c>
      <c r="C337" t="inlineStr">
        <is>
          <t>Materiales</t>
        </is>
      </c>
      <c r="D337" t="inlineStr">
        <is>
          <t>Unidad</t>
        </is>
      </c>
      <c r="E337" t="inlineStr">
        <is>
          <t>CDS</t>
        </is>
      </c>
      <c r="F337" t="n">
        <v>2</v>
      </c>
      <c r="G337" t="n">
        <v>0</v>
      </c>
      <c r="H337" t="n">
        <v>0</v>
      </c>
      <c r="I337" t="n">
        <v>0</v>
      </c>
      <c r="J337" t="n">
        <v>0</v>
      </c>
      <c r="K337" t="n">
        <v>0</v>
      </c>
      <c r="L337" t="n">
        <v>0</v>
      </c>
      <c r="M337">
        <f>F337+G337+H337+K337-I337-J337-L337</f>
        <v/>
      </c>
      <c r="N337" t="inlineStr">
        <is>
          <t>NO APLICA</t>
        </is>
      </c>
      <c r="O337" t="n">
        <v>5</v>
      </c>
      <c r="P337">
        <f>IF(M337&lt;0, "ERROR: SOBREGIRO", IF(M337=0, "SIN EXISTENCIAS", IF(M337&lt;=O337, "STOCK BAJO", "STOCK NORMAL")))</f>
        <v/>
      </c>
    </row>
    <row r="338">
      <c r="A338" t="n">
        <v>7790</v>
      </c>
      <c r="B338" t="inlineStr">
        <is>
          <t>CONDULETA LR 1 1/4" INTEMPERIE</t>
        </is>
      </c>
      <c r="C338" t="inlineStr">
        <is>
          <t>Materiales</t>
        </is>
      </c>
      <c r="D338" t="inlineStr">
        <is>
          <t>Unidad</t>
        </is>
      </c>
      <c r="E338" t="inlineStr">
        <is>
          <t>CDS</t>
        </is>
      </c>
      <c r="F338" t="n">
        <v>1</v>
      </c>
      <c r="G338" t="n">
        <v>0</v>
      </c>
      <c r="H338" t="n">
        <v>0</v>
      </c>
      <c r="I338" t="n">
        <v>0</v>
      </c>
      <c r="J338" t="n">
        <v>0</v>
      </c>
      <c r="K338" t="n">
        <v>0</v>
      </c>
      <c r="L338" t="n">
        <v>0</v>
      </c>
      <c r="M338">
        <f>F338+G338+H338+K338-I338-J338-L338</f>
        <v/>
      </c>
      <c r="N338" t="inlineStr">
        <is>
          <t>NO APLICA</t>
        </is>
      </c>
      <c r="O338" t="n">
        <v>5</v>
      </c>
      <c r="P338">
        <f>IF(M338&lt;0, "ERROR: SOBREGIRO", IF(M338=0, "SIN EXISTENCIAS", IF(M338&lt;=O338, "STOCK BAJO", "STOCK NORMAL")))</f>
        <v/>
      </c>
    </row>
    <row r="339">
      <c r="A339" t="n">
        <v>7791</v>
      </c>
      <c r="B339" t="inlineStr">
        <is>
          <t>CONDULETA LR 1 1/4" INTERIOR</t>
        </is>
      </c>
      <c r="C339" t="inlineStr">
        <is>
          <t>Materiales</t>
        </is>
      </c>
      <c r="D339" t="inlineStr">
        <is>
          <t>Unidad</t>
        </is>
      </c>
      <c r="E339" t="inlineStr">
        <is>
          <t>CDS</t>
        </is>
      </c>
      <c r="F339" t="n">
        <v>0</v>
      </c>
      <c r="G339" t="n">
        <v>0</v>
      </c>
      <c r="H339" t="n">
        <v>0</v>
      </c>
      <c r="I339" t="n">
        <v>0</v>
      </c>
      <c r="J339" t="n">
        <v>0</v>
      </c>
      <c r="K339" t="n">
        <v>0</v>
      </c>
      <c r="L339" t="n">
        <v>0</v>
      </c>
      <c r="M339">
        <f>F339+G339+H339+K339-I339-J339-L339</f>
        <v/>
      </c>
      <c r="N339" t="inlineStr">
        <is>
          <t>NO APLICA</t>
        </is>
      </c>
      <c r="O339" t="n">
        <v>5</v>
      </c>
      <c r="P339">
        <f>IF(M339&lt;0, "ERROR: SOBREGIRO", IF(M339=0, "SIN EXISTENCIAS", IF(M339&lt;=O339, "STOCK BAJO", "STOCK NORMAL")))</f>
        <v/>
      </c>
    </row>
    <row r="340">
      <c r="A340" t="n">
        <v>7792</v>
      </c>
      <c r="B340" t="inlineStr">
        <is>
          <t>CONDULETA LR 1" INTEMPERIE</t>
        </is>
      </c>
      <c r="C340" t="inlineStr">
        <is>
          <t>Materiales</t>
        </is>
      </c>
      <c r="D340" t="inlineStr">
        <is>
          <t>Unidad</t>
        </is>
      </c>
      <c r="E340" t="inlineStr">
        <is>
          <t>CDS</t>
        </is>
      </c>
      <c r="F340" t="n">
        <v>18</v>
      </c>
      <c r="G340" t="n">
        <v>0</v>
      </c>
      <c r="H340" t="n">
        <v>0</v>
      </c>
      <c r="I340" t="n">
        <v>0</v>
      </c>
      <c r="J340" t="n">
        <v>0</v>
      </c>
      <c r="K340" t="n">
        <v>0</v>
      </c>
      <c r="L340" t="n">
        <v>0</v>
      </c>
      <c r="M340">
        <f>F340+G340+H340+K340-I340-J340-L340</f>
        <v/>
      </c>
      <c r="N340" t="inlineStr">
        <is>
          <t>NO APLICA</t>
        </is>
      </c>
      <c r="O340" t="n">
        <v>5</v>
      </c>
      <c r="P340">
        <f>IF(M340&lt;0, "ERROR: SOBREGIRO", IF(M340=0, "SIN EXISTENCIAS", IF(M340&lt;=O340, "STOCK BAJO", "STOCK NORMAL")))</f>
        <v/>
      </c>
    </row>
    <row r="341">
      <c r="A341" t="n">
        <v>7793</v>
      </c>
      <c r="B341" t="inlineStr">
        <is>
          <t>CONDULETA LR 1" INTERIOR</t>
        </is>
      </c>
      <c r="C341" t="inlineStr">
        <is>
          <t>Materiales</t>
        </is>
      </c>
      <c r="D341" t="inlineStr">
        <is>
          <t>Unidad</t>
        </is>
      </c>
      <c r="E341" t="inlineStr">
        <is>
          <t>CDS</t>
        </is>
      </c>
      <c r="F341" t="n">
        <v>3</v>
      </c>
      <c r="G341" t="n">
        <v>0</v>
      </c>
      <c r="H341" t="n">
        <v>0</v>
      </c>
      <c r="I341" t="n">
        <v>0</v>
      </c>
      <c r="J341" t="n">
        <v>0</v>
      </c>
      <c r="K341" t="n">
        <v>0</v>
      </c>
      <c r="L341" t="n">
        <v>0</v>
      </c>
      <c r="M341">
        <f>F341+G341+H341+K341-I341-J341-L341</f>
        <v/>
      </c>
      <c r="N341" t="inlineStr">
        <is>
          <t>NO APLICA</t>
        </is>
      </c>
      <c r="O341" t="n">
        <v>5</v>
      </c>
      <c r="P341">
        <f>IF(M341&lt;0, "ERROR: SOBREGIRO", IF(M341=0, "SIN EXISTENCIAS", IF(M341&lt;=O341, "STOCK BAJO", "STOCK NORMAL")))</f>
        <v/>
      </c>
    </row>
    <row r="342">
      <c r="A342" t="n">
        <v>7795</v>
      </c>
      <c r="B342" t="inlineStr">
        <is>
          <t>CONDULETA LR 1/2" INTERIOR</t>
        </is>
      </c>
      <c r="C342" t="inlineStr">
        <is>
          <t>Materiales</t>
        </is>
      </c>
      <c r="D342" t="inlineStr">
        <is>
          <t>Unidad</t>
        </is>
      </c>
      <c r="E342" t="inlineStr">
        <is>
          <t>CDS</t>
        </is>
      </c>
      <c r="F342" t="n">
        <v>1</v>
      </c>
      <c r="G342" t="n">
        <v>0</v>
      </c>
      <c r="H342" t="n">
        <v>0</v>
      </c>
      <c r="I342" t="n">
        <v>0</v>
      </c>
      <c r="J342" t="n">
        <v>0</v>
      </c>
      <c r="K342" t="n">
        <v>0</v>
      </c>
      <c r="L342" t="n">
        <v>0</v>
      </c>
      <c r="M342">
        <f>F342+G342+H342+K342-I342-J342-L342</f>
        <v/>
      </c>
      <c r="N342" t="inlineStr">
        <is>
          <t>NO APLICA</t>
        </is>
      </c>
      <c r="O342" t="n">
        <v>5</v>
      </c>
      <c r="P342">
        <f>IF(M342&lt;0, "ERROR: SOBREGIRO", IF(M342=0, "SIN EXISTENCIAS", IF(M342&lt;=O342, "STOCK BAJO", "STOCK NORMAL")))</f>
        <v/>
      </c>
    </row>
    <row r="343">
      <c r="A343" t="n">
        <v>7797</v>
      </c>
      <c r="B343" t="inlineStr">
        <is>
          <t>CONDULETA LR 2" INTERIOR</t>
        </is>
      </c>
      <c r="C343" t="inlineStr">
        <is>
          <t>Materiales</t>
        </is>
      </c>
      <c r="D343" t="inlineStr">
        <is>
          <t>Unidad</t>
        </is>
      </c>
      <c r="E343" t="inlineStr">
        <is>
          <t>CDS</t>
        </is>
      </c>
      <c r="F343" t="n">
        <v>5</v>
      </c>
      <c r="G343" t="n">
        <v>0</v>
      </c>
      <c r="H343" t="n">
        <v>0</v>
      </c>
      <c r="I343" t="n">
        <v>0</v>
      </c>
      <c r="J343" t="n">
        <v>0</v>
      </c>
      <c r="K343" t="n">
        <v>0</v>
      </c>
      <c r="L343" t="n">
        <v>0</v>
      </c>
      <c r="M343">
        <f>F343+G343+H343+K343-I343-J343-L343</f>
        <v/>
      </c>
      <c r="N343" t="inlineStr">
        <is>
          <t>NO APLICA</t>
        </is>
      </c>
      <c r="O343" t="n">
        <v>5</v>
      </c>
      <c r="P343">
        <f>IF(M343&lt;0, "ERROR: SOBREGIRO", IF(M343=0, "SIN EXISTENCIAS", IF(M343&lt;=O343, "STOCK BAJO", "STOCK NORMAL")))</f>
        <v/>
      </c>
    </row>
    <row r="344">
      <c r="A344" t="n">
        <v>7798</v>
      </c>
      <c r="B344" t="inlineStr">
        <is>
          <t>CONDULETA LR 3/4" INTEMPERIE</t>
        </is>
      </c>
      <c r="C344" t="inlineStr">
        <is>
          <t>Materiales</t>
        </is>
      </c>
      <c r="D344" t="inlineStr">
        <is>
          <t>Unidad</t>
        </is>
      </c>
      <c r="E344" t="inlineStr">
        <is>
          <t>CDS</t>
        </is>
      </c>
      <c r="F344" t="n">
        <v>3</v>
      </c>
      <c r="G344" t="n">
        <v>0</v>
      </c>
      <c r="H344" t="n">
        <v>0</v>
      </c>
      <c r="I344" t="n">
        <v>0</v>
      </c>
      <c r="J344" t="n">
        <v>0</v>
      </c>
      <c r="K344" t="n">
        <v>0</v>
      </c>
      <c r="L344" t="n">
        <v>0</v>
      </c>
      <c r="M344">
        <f>F344+G344+H344+K344-I344-J344-L344</f>
        <v/>
      </c>
      <c r="N344" t="inlineStr">
        <is>
          <t>NO APLICA</t>
        </is>
      </c>
      <c r="O344" t="n">
        <v>5</v>
      </c>
      <c r="P344">
        <f>IF(M344&lt;0, "ERROR: SOBREGIRO", IF(M344=0, "SIN EXISTENCIAS", IF(M344&lt;=O344, "STOCK BAJO", "STOCK NORMAL")))</f>
        <v/>
      </c>
    </row>
    <row r="345">
      <c r="A345" t="n">
        <v>7799</v>
      </c>
      <c r="B345" t="inlineStr">
        <is>
          <t>CONDULETA LR 3/4" INTERIOR</t>
        </is>
      </c>
      <c r="C345" t="inlineStr">
        <is>
          <t>Materiales</t>
        </is>
      </c>
      <c r="D345" t="inlineStr">
        <is>
          <t>Unidad</t>
        </is>
      </c>
      <c r="E345" t="inlineStr">
        <is>
          <t>CDS</t>
        </is>
      </c>
      <c r="F345" t="n">
        <v>41</v>
      </c>
      <c r="G345" t="n">
        <v>0</v>
      </c>
      <c r="H345" t="n">
        <v>0</v>
      </c>
      <c r="I345" t="n">
        <v>0</v>
      </c>
      <c r="J345" t="n">
        <v>0</v>
      </c>
      <c r="K345" t="n">
        <v>0</v>
      </c>
      <c r="L345" t="n">
        <v>0</v>
      </c>
      <c r="M345">
        <f>F345+G345+H345+K345-I345-J345-L345</f>
        <v/>
      </c>
      <c r="N345" t="inlineStr">
        <is>
          <t>NO APLICA</t>
        </is>
      </c>
      <c r="O345" t="n">
        <v>5</v>
      </c>
      <c r="P345">
        <f>IF(M345&lt;0, "ERROR: SOBREGIRO", IF(M345=0, "SIN EXISTENCIAS", IF(M345&lt;=O345, "STOCK BAJO", "STOCK NORMAL")))</f>
        <v/>
      </c>
    </row>
    <row r="346">
      <c r="A346" t="n">
        <v>7800</v>
      </c>
      <c r="B346" t="inlineStr">
        <is>
          <t>CONDULETA T 1 1/2" INTEMPERIE</t>
        </is>
      </c>
      <c r="C346" t="inlineStr">
        <is>
          <t>Materiales</t>
        </is>
      </c>
      <c r="D346" t="inlineStr">
        <is>
          <t>Unidad</t>
        </is>
      </c>
      <c r="E346" t="inlineStr">
        <is>
          <t>CDS</t>
        </is>
      </c>
      <c r="F346" t="n">
        <v>1</v>
      </c>
      <c r="G346" t="n">
        <v>0</v>
      </c>
      <c r="H346" t="n">
        <v>0</v>
      </c>
      <c r="I346" t="n">
        <v>0</v>
      </c>
      <c r="J346" t="n">
        <v>0</v>
      </c>
      <c r="K346" t="n">
        <v>0</v>
      </c>
      <c r="L346" t="n">
        <v>0</v>
      </c>
      <c r="M346">
        <f>F346+G346+H346+K346-I346-J346-L346</f>
        <v/>
      </c>
      <c r="N346" t="inlineStr">
        <is>
          <t>NO APLICA</t>
        </is>
      </c>
      <c r="O346" t="n">
        <v>5</v>
      </c>
      <c r="P346">
        <f>IF(M346&lt;0, "ERROR: SOBREGIRO", IF(M346=0, "SIN EXISTENCIAS", IF(M346&lt;=O346, "STOCK BAJO", "STOCK NORMAL")))</f>
        <v/>
      </c>
    </row>
    <row r="347">
      <c r="A347" t="n">
        <v>7804</v>
      </c>
      <c r="B347" t="inlineStr">
        <is>
          <t>CONDULETA T 1" INTEMPERIE</t>
        </is>
      </c>
      <c r="C347" t="inlineStr">
        <is>
          <t>Materiales</t>
        </is>
      </c>
      <c r="D347" t="inlineStr">
        <is>
          <t>Unidad</t>
        </is>
      </c>
      <c r="E347" t="inlineStr">
        <is>
          <t>CDS</t>
        </is>
      </c>
      <c r="F347" t="n">
        <v>8</v>
      </c>
      <c r="G347" t="n">
        <v>0</v>
      </c>
      <c r="H347" t="n">
        <v>0</v>
      </c>
      <c r="I347" t="n">
        <v>0</v>
      </c>
      <c r="J347" t="n">
        <v>0</v>
      </c>
      <c r="K347" t="n">
        <v>0</v>
      </c>
      <c r="L347" t="n">
        <v>0</v>
      </c>
      <c r="M347">
        <f>F347+G347+H347+K347-I347-J347-L347</f>
        <v/>
      </c>
      <c r="N347" t="inlineStr">
        <is>
          <t>NO APLICA</t>
        </is>
      </c>
      <c r="O347" t="n">
        <v>5</v>
      </c>
      <c r="P347">
        <f>IF(M347&lt;0, "ERROR: SOBREGIRO", IF(M347=0, "SIN EXISTENCIAS", IF(M347&lt;=O347, "STOCK BAJO", "STOCK NORMAL")))</f>
        <v/>
      </c>
    </row>
    <row r="348">
      <c r="A348" t="n">
        <v>7807</v>
      </c>
      <c r="B348" t="inlineStr">
        <is>
          <t>CONDULETA T 1/2" INTERIOR</t>
        </is>
      </c>
      <c r="C348" t="inlineStr">
        <is>
          <t>Materiales</t>
        </is>
      </c>
      <c r="D348" t="inlineStr">
        <is>
          <t>Unidad</t>
        </is>
      </c>
      <c r="E348" t="inlineStr">
        <is>
          <t>CDS</t>
        </is>
      </c>
      <c r="F348" t="n">
        <v>2</v>
      </c>
      <c r="G348" t="n">
        <v>0</v>
      </c>
      <c r="H348" t="n">
        <v>0</v>
      </c>
      <c r="I348" t="n">
        <v>0</v>
      </c>
      <c r="J348" t="n">
        <v>0</v>
      </c>
      <c r="K348" t="n">
        <v>0</v>
      </c>
      <c r="L348" t="n">
        <v>0</v>
      </c>
      <c r="M348">
        <f>F348+G348+H348+K348-I348-J348-L348</f>
        <v/>
      </c>
      <c r="N348" t="inlineStr">
        <is>
          <t>NO APLICA</t>
        </is>
      </c>
      <c r="O348" t="n">
        <v>5</v>
      </c>
      <c r="P348">
        <f>IF(M348&lt;0, "ERROR: SOBREGIRO", IF(M348=0, "SIN EXISTENCIAS", IF(M348&lt;=O348, "STOCK BAJO", "STOCK NORMAL")))</f>
        <v/>
      </c>
    </row>
    <row r="349">
      <c r="A349" t="n">
        <v>7812</v>
      </c>
      <c r="B349" t="inlineStr">
        <is>
          <t>CORAZA AMERICANA 1 1/2"</t>
        </is>
      </c>
      <c r="C349" t="inlineStr">
        <is>
          <t>Materiales</t>
        </is>
      </c>
      <c r="D349" t="inlineStr">
        <is>
          <t>Unidad</t>
        </is>
      </c>
      <c r="E349" t="inlineStr">
        <is>
          <t>CDS</t>
        </is>
      </c>
      <c r="F349" t="n">
        <v>0</v>
      </c>
      <c r="G349" t="n">
        <v>0</v>
      </c>
      <c r="H349" t="n">
        <v>0</v>
      </c>
      <c r="I349" t="n">
        <v>0</v>
      </c>
      <c r="J349" t="n">
        <v>0</v>
      </c>
      <c r="K349" t="n">
        <v>0</v>
      </c>
      <c r="L349" t="n">
        <v>0</v>
      </c>
      <c r="M349">
        <f>F349+G349+H349+K349-I349-J349-L349</f>
        <v/>
      </c>
      <c r="N349" t="inlineStr">
        <is>
          <t>NO APLICA</t>
        </is>
      </c>
      <c r="O349" t="n">
        <v>5</v>
      </c>
      <c r="P349">
        <f>IF(M349&lt;0, "ERROR: SOBREGIRO", IF(M349=0, "SIN EXISTENCIAS", IF(M349&lt;=O349, "STOCK BAJO", "STOCK NORMAL")))</f>
        <v/>
      </c>
    </row>
    <row r="350">
      <c r="A350" t="n">
        <v>7813</v>
      </c>
      <c r="B350" t="inlineStr">
        <is>
          <t>CORAZA AMERICANA 1 1/4"</t>
        </is>
      </c>
      <c r="C350" t="inlineStr">
        <is>
          <t>Materiales</t>
        </is>
      </c>
      <c r="D350" t="inlineStr">
        <is>
          <t>Unidad</t>
        </is>
      </c>
      <c r="E350" t="inlineStr">
        <is>
          <t>CDS</t>
        </is>
      </c>
      <c r="F350" t="n">
        <v>0</v>
      </c>
      <c r="G350" t="n">
        <v>0</v>
      </c>
      <c r="H350" t="n">
        <v>0</v>
      </c>
      <c r="I350" t="n">
        <v>0</v>
      </c>
      <c r="J350" t="n">
        <v>0</v>
      </c>
      <c r="K350" t="n">
        <v>0</v>
      </c>
      <c r="L350" t="n">
        <v>0</v>
      </c>
      <c r="M350">
        <f>F350+G350+H350+K350-I350-J350-L350</f>
        <v/>
      </c>
      <c r="N350" t="inlineStr">
        <is>
          <t>NO APLICA</t>
        </is>
      </c>
      <c r="O350" t="n">
        <v>5</v>
      </c>
      <c r="P350">
        <f>IF(M350&lt;0, "ERROR: SOBREGIRO", IF(M350=0, "SIN EXISTENCIAS", IF(M350&lt;=O350, "STOCK BAJO", "STOCK NORMAL")))</f>
        <v/>
      </c>
    </row>
    <row r="351">
      <c r="A351" t="n">
        <v>7814</v>
      </c>
      <c r="B351" t="inlineStr">
        <is>
          <t>CORAZA AMERICANA 1"</t>
        </is>
      </c>
      <c r="C351" t="inlineStr">
        <is>
          <t>Materiales</t>
        </is>
      </c>
      <c r="D351" t="inlineStr">
        <is>
          <t>Unidad</t>
        </is>
      </c>
      <c r="E351" t="inlineStr">
        <is>
          <t>CDS</t>
        </is>
      </c>
      <c r="F351" t="n">
        <v>0</v>
      </c>
      <c r="G351" t="n">
        <v>0</v>
      </c>
      <c r="H351" t="n">
        <v>0</v>
      </c>
      <c r="I351" t="n">
        <v>0</v>
      </c>
      <c r="J351" t="n">
        <v>0</v>
      </c>
      <c r="K351" t="n">
        <v>0</v>
      </c>
      <c r="L351" t="n">
        <v>0</v>
      </c>
      <c r="M351">
        <f>F351+G351+H351+K351-I351-J351-L351</f>
        <v/>
      </c>
      <c r="N351" t="inlineStr">
        <is>
          <t>NO APLICA</t>
        </is>
      </c>
      <c r="O351" t="n">
        <v>5</v>
      </c>
      <c r="P351">
        <f>IF(M351&lt;0, "ERROR: SOBREGIRO", IF(M351=0, "SIN EXISTENCIAS", IF(M351&lt;=O351, "STOCK BAJO", "STOCK NORMAL")))</f>
        <v/>
      </c>
    </row>
    <row r="352">
      <c r="A352" t="n">
        <v>7816</v>
      </c>
      <c r="B352" t="inlineStr">
        <is>
          <t>CORAZA AMERICANA 2"</t>
        </is>
      </c>
      <c r="C352" t="inlineStr">
        <is>
          <t>Materiales</t>
        </is>
      </c>
      <c r="D352" t="inlineStr">
        <is>
          <t>Unidad</t>
        </is>
      </c>
      <c r="E352" t="inlineStr">
        <is>
          <t>CDS</t>
        </is>
      </c>
      <c r="F352" t="n">
        <v>0</v>
      </c>
      <c r="G352" t="n">
        <v>0</v>
      </c>
      <c r="H352" t="n">
        <v>0</v>
      </c>
      <c r="I352" t="n">
        <v>0</v>
      </c>
      <c r="J352" t="n">
        <v>0</v>
      </c>
      <c r="K352" t="n">
        <v>0</v>
      </c>
      <c r="L352" t="n">
        <v>0</v>
      </c>
      <c r="M352">
        <f>F352+G352+H352+K352-I352-J352-L352</f>
        <v/>
      </c>
      <c r="N352" t="inlineStr">
        <is>
          <t>NO APLICA</t>
        </is>
      </c>
      <c r="O352" t="n">
        <v>5</v>
      </c>
      <c r="P352">
        <f>IF(M352&lt;0, "ERROR: SOBREGIRO", IF(M352=0, "SIN EXISTENCIAS", IF(M352&lt;=O352, "STOCK BAJO", "STOCK NORMAL")))</f>
        <v/>
      </c>
    </row>
    <row r="353">
      <c r="A353" t="n">
        <v>7817</v>
      </c>
      <c r="B353" t="inlineStr">
        <is>
          <t>CORAZA AMERICANA 3/4"</t>
        </is>
      </c>
      <c r="C353" t="inlineStr">
        <is>
          <t>Materiales</t>
        </is>
      </c>
      <c r="D353" t="inlineStr">
        <is>
          <t>Unidad</t>
        </is>
      </c>
      <c r="E353" t="inlineStr">
        <is>
          <t>CDS</t>
        </is>
      </c>
      <c r="F353" t="n">
        <v>0</v>
      </c>
      <c r="G353" t="n">
        <v>0</v>
      </c>
      <c r="H353" t="n">
        <v>0</v>
      </c>
      <c r="I353" t="n">
        <v>0</v>
      </c>
      <c r="J353" t="n">
        <v>0</v>
      </c>
      <c r="K353" t="n">
        <v>0</v>
      </c>
      <c r="L353" t="n">
        <v>0</v>
      </c>
      <c r="M353">
        <f>F353+G353+H353+K353-I353-J353-L353</f>
        <v/>
      </c>
      <c r="N353" t="inlineStr">
        <is>
          <t>NO APLICA</t>
        </is>
      </c>
      <c r="O353" t="n">
        <v>5</v>
      </c>
      <c r="P353">
        <f>IF(M353&lt;0, "ERROR: SOBREGIRO", IF(M353=0, "SIN EXISTENCIAS", IF(M353&lt;=O353, "STOCK BAJO", "STOCK NORMAL")))</f>
        <v/>
      </c>
    </row>
    <row r="354">
      <c r="A354" t="n">
        <v>7820</v>
      </c>
      <c r="B354" t="inlineStr">
        <is>
          <t>CURVA CONDUIT PVC (SCH 40) 1"</t>
        </is>
      </c>
      <c r="C354" t="inlineStr">
        <is>
          <t>Materiales</t>
        </is>
      </c>
      <c r="D354" t="inlineStr">
        <is>
          <t>Unidad</t>
        </is>
      </c>
      <c r="E354" t="inlineStr">
        <is>
          <t>CDS</t>
        </is>
      </c>
      <c r="F354" t="n">
        <v>0</v>
      </c>
      <c r="G354" t="n">
        <v>0</v>
      </c>
      <c r="H354" t="n">
        <v>0</v>
      </c>
      <c r="I354" t="n">
        <v>0</v>
      </c>
      <c r="J354" t="n">
        <v>0</v>
      </c>
      <c r="K354" t="n">
        <v>0</v>
      </c>
      <c r="L354" t="n">
        <v>0</v>
      </c>
      <c r="M354">
        <f>F354+G354+H354+K354-I354-J354-L354</f>
        <v/>
      </c>
      <c r="N354" t="inlineStr">
        <is>
          <t>NO APLICA</t>
        </is>
      </c>
      <c r="O354" t="n">
        <v>5</v>
      </c>
      <c r="P354">
        <f>IF(M354&lt;0, "ERROR: SOBREGIRO", IF(M354=0, "SIN EXISTENCIAS", IF(M354&lt;=O354, "STOCK BAJO", "STOCK NORMAL")))</f>
        <v/>
      </c>
    </row>
    <row r="355">
      <c r="A355" t="n">
        <v>7824</v>
      </c>
      <c r="B355" t="inlineStr">
        <is>
          <t>CURVA CONDUIT PVC 1 1/2"</t>
        </is>
      </c>
      <c r="C355" t="inlineStr">
        <is>
          <t>Materiales</t>
        </is>
      </c>
      <c r="D355" t="inlineStr">
        <is>
          <t>Unidad</t>
        </is>
      </c>
      <c r="E355" t="inlineStr">
        <is>
          <t>CDS</t>
        </is>
      </c>
      <c r="F355" t="n">
        <v>0</v>
      </c>
      <c r="G355" t="n">
        <v>0</v>
      </c>
      <c r="H355" t="n">
        <v>0</v>
      </c>
      <c r="I355" t="n">
        <v>0</v>
      </c>
      <c r="J355" t="n">
        <v>0</v>
      </c>
      <c r="K355" t="n">
        <v>0</v>
      </c>
      <c r="L355" t="n">
        <v>0</v>
      </c>
      <c r="M355">
        <f>F355+G355+H355+K355-I355-J355-L355</f>
        <v/>
      </c>
      <c r="N355" t="inlineStr">
        <is>
          <t>NO APLICA</t>
        </is>
      </c>
      <c r="O355" t="n">
        <v>5</v>
      </c>
      <c r="P355">
        <f>IF(M355&lt;0, "ERROR: SOBREGIRO", IF(M355=0, "SIN EXISTENCIAS", IF(M355&lt;=O355, "STOCK BAJO", "STOCK NORMAL")))</f>
        <v/>
      </c>
    </row>
    <row r="356">
      <c r="A356" t="n">
        <v>7825</v>
      </c>
      <c r="B356" t="inlineStr">
        <is>
          <t>CURVA CONDUIT PVC 1 1/4"</t>
        </is>
      </c>
      <c r="C356" t="inlineStr">
        <is>
          <t>Materiales</t>
        </is>
      </c>
      <c r="D356" t="inlineStr">
        <is>
          <t>Unidad</t>
        </is>
      </c>
      <c r="E356" t="inlineStr">
        <is>
          <t>CDS</t>
        </is>
      </c>
      <c r="F356" t="n">
        <v>0</v>
      </c>
      <c r="G356" t="n">
        <v>0</v>
      </c>
      <c r="H356" t="n">
        <v>0</v>
      </c>
      <c r="I356" t="n">
        <v>0</v>
      </c>
      <c r="J356" t="n">
        <v>0</v>
      </c>
      <c r="K356" t="n">
        <v>0</v>
      </c>
      <c r="L356" t="n">
        <v>0</v>
      </c>
      <c r="M356">
        <f>F356+G356+H356+K356-I356-J356-L356</f>
        <v/>
      </c>
      <c r="N356" t="inlineStr">
        <is>
          <t>NO APLICA</t>
        </is>
      </c>
      <c r="O356" t="n">
        <v>5</v>
      </c>
      <c r="P356">
        <f>IF(M356&lt;0, "ERROR: SOBREGIRO", IF(M356=0, "SIN EXISTENCIAS", IF(M356&lt;=O356, "STOCK BAJO", "STOCK NORMAL")))</f>
        <v/>
      </c>
    </row>
    <row r="357">
      <c r="A357" t="n">
        <v>7826</v>
      </c>
      <c r="B357" t="inlineStr">
        <is>
          <t>CURVA CONDUIT PVC 1"</t>
        </is>
      </c>
      <c r="C357" t="inlineStr">
        <is>
          <t>Materiales</t>
        </is>
      </c>
      <c r="D357" t="inlineStr">
        <is>
          <t>Unidad</t>
        </is>
      </c>
      <c r="E357" t="inlineStr">
        <is>
          <t>CDS</t>
        </is>
      </c>
      <c r="F357" t="n">
        <v>0</v>
      </c>
      <c r="G357" t="n">
        <v>0</v>
      </c>
      <c r="H357" t="n">
        <v>0</v>
      </c>
      <c r="I357" t="n">
        <v>0</v>
      </c>
      <c r="J357" t="n">
        <v>0</v>
      </c>
      <c r="K357" t="n">
        <v>0</v>
      </c>
      <c r="L357" t="n">
        <v>0</v>
      </c>
      <c r="M357">
        <f>F357+G357+H357+K357-I357-J357-L357</f>
        <v/>
      </c>
      <c r="N357" t="inlineStr">
        <is>
          <t>NO APLICA</t>
        </is>
      </c>
      <c r="O357" t="n">
        <v>5</v>
      </c>
      <c r="P357">
        <f>IF(M357&lt;0, "ERROR: SOBREGIRO", IF(M357=0, "SIN EXISTENCIAS", IF(M357&lt;=O357, "STOCK BAJO", "STOCK NORMAL")))</f>
        <v/>
      </c>
    </row>
    <row r="358">
      <c r="A358" t="n">
        <v>7827</v>
      </c>
      <c r="B358" t="inlineStr">
        <is>
          <t>CURVA CONDUIT PVC 1/2"</t>
        </is>
      </c>
      <c r="C358" t="inlineStr">
        <is>
          <t>Materiales</t>
        </is>
      </c>
      <c r="D358" t="inlineStr">
        <is>
          <t>Unidad</t>
        </is>
      </c>
      <c r="E358" t="inlineStr">
        <is>
          <t>CDS</t>
        </is>
      </c>
      <c r="F358" t="n">
        <v>0</v>
      </c>
      <c r="G358" t="n">
        <v>0</v>
      </c>
      <c r="H358" t="n">
        <v>0</v>
      </c>
      <c r="I358" t="n">
        <v>0</v>
      </c>
      <c r="J358" t="n">
        <v>0</v>
      </c>
      <c r="K358" t="n">
        <v>0</v>
      </c>
      <c r="L358" t="n">
        <v>0</v>
      </c>
      <c r="M358">
        <f>F358+G358+H358+K358-I358-J358-L358</f>
        <v/>
      </c>
      <c r="N358" t="inlineStr">
        <is>
          <t>NO APLICA</t>
        </is>
      </c>
      <c r="O358" t="n">
        <v>5</v>
      </c>
      <c r="P358">
        <f>IF(M358&lt;0, "ERROR: SOBREGIRO", IF(M358=0, "SIN EXISTENCIAS", IF(M358&lt;=O358, "STOCK BAJO", "STOCK NORMAL")))</f>
        <v/>
      </c>
    </row>
    <row r="359">
      <c r="A359" t="n">
        <v>7829</v>
      </c>
      <c r="B359" t="inlineStr">
        <is>
          <t>CURVA CONDUIT PVC 2"</t>
        </is>
      </c>
      <c r="C359" t="inlineStr">
        <is>
          <t>Materiales</t>
        </is>
      </c>
      <c r="D359" t="inlineStr">
        <is>
          <t>Unidad</t>
        </is>
      </c>
      <c r="E359" t="inlineStr">
        <is>
          <t>CDS</t>
        </is>
      </c>
      <c r="F359" t="n">
        <v>0</v>
      </c>
      <c r="G359" t="n">
        <v>0</v>
      </c>
      <c r="H359" t="n">
        <v>0</v>
      </c>
      <c r="I359" t="n">
        <v>0</v>
      </c>
      <c r="J359" t="n">
        <v>0</v>
      </c>
      <c r="K359" t="n">
        <v>0</v>
      </c>
      <c r="L359" t="n">
        <v>0</v>
      </c>
      <c r="M359">
        <f>F359+G359+H359+K359-I359-J359-L359</f>
        <v/>
      </c>
      <c r="N359" t="inlineStr">
        <is>
          <t>NO APLICA</t>
        </is>
      </c>
      <c r="O359" t="n">
        <v>5</v>
      </c>
      <c r="P359">
        <f>IF(M359&lt;0, "ERROR: SOBREGIRO", IF(M359=0, "SIN EXISTENCIAS", IF(M359&lt;=O359, "STOCK BAJO", "STOCK NORMAL")))</f>
        <v/>
      </c>
    </row>
    <row r="360">
      <c r="A360" t="n">
        <v>7831</v>
      </c>
      <c r="B360" t="inlineStr">
        <is>
          <t>CURVA CONDUIT PVC 3/4"</t>
        </is>
      </c>
      <c r="C360" t="inlineStr">
        <is>
          <t>Materiales</t>
        </is>
      </c>
      <c r="D360" t="inlineStr">
        <is>
          <t>Unidad</t>
        </is>
      </c>
      <c r="E360" t="inlineStr">
        <is>
          <t>CDS</t>
        </is>
      </c>
      <c r="F360" t="n">
        <v>0</v>
      </c>
      <c r="G360" t="n">
        <v>0</v>
      </c>
      <c r="H360" t="n">
        <v>0</v>
      </c>
      <c r="I360" t="n">
        <v>0</v>
      </c>
      <c r="J360" t="n">
        <v>0</v>
      </c>
      <c r="K360" t="n">
        <v>0</v>
      </c>
      <c r="L360" t="n">
        <v>0</v>
      </c>
      <c r="M360">
        <f>F360+G360+H360+K360-I360-J360-L360</f>
        <v/>
      </c>
      <c r="N360" t="inlineStr">
        <is>
          <t>NO APLICA</t>
        </is>
      </c>
      <c r="O360" t="n">
        <v>5</v>
      </c>
      <c r="P360">
        <f>IF(M360&lt;0, "ERROR: SOBREGIRO", IF(M360=0, "SIN EXISTENCIAS", IF(M360&lt;=O360, "STOCK BAJO", "STOCK NORMAL")))</f>
        <v/>
      </c>
    </row>
    <row r="361">
      <c r="A361" t="n">
        <v>7832</v>
      </c>
      <c r="B361" t="inlineStr">
        <is>
          <t>CURVA EMT 1 1/2"</t>
        </is>
      </c>
      <c r="C361" t="inlineStr">
        <is>
          <t>Materiales</t>
        </is>
      </c>
      <c r="D361" t="inlineStr">
        <is>
          <t>Unidad</t>
        </is>
      </c>
      <c r="E361" t="inlineStr">
        <is>
          <t>CDS</t>
        </is>
      </c>
      <c r="F361" t="n">
        <v>0</v>
      </c>
      <c r="G361" t="n">
        <v>0</v>
      </c>
      <c r="H361" t="n">
        <v>0</v>
      </c>
      <c r="I361" t="n">
        <v>0</v>
      </c>
      <c r="J361" t="n">
        <v>0</v>
      </c>
      <c r="K361" t="n">
        <v>0</v>
      </c>
      <c r="L361" t="n">
        <v>0</v>
      </c>
      <c r="M361">
        <f>F361+G361+H361+K361-I361-J361-L361</f>
        <v/>
      </c>
      <c r="N361" t="inlineStr">
        <is>
          <t>NO APLICA</t>
        </is>
      </c>
      <c r="O361" t="n">
        <v>5</v>
      </c>
      <c r="P361">
        <f>IF(M361&lt;0, "ERROR: SOBREGIRO", IF(M361=0, "SIN EXISTENCIAS", IF(M361&lt;=O361, "STOCK BAJO", "STOCK NORMAL")))</f>
        <v/>
      </c>
    </row>
    <row r="362">
      <c r="A362" t="n">
        <v>7834</v>
      </c>
      <c r="B362" t="inlineStr">
        <is>
          <t>CURVA EMT 1"</t>
        </is>
      </c>
      <c r="C362" t="inlineStr">
        <is>
          <t>Materiales</t>
        </is>
      </c>
      <c r="D362" t="inlineStr">
        <is>
          <t>Unidad</t>
        </is>
      </c>
      <c r="E362" t="inlineStr">
        <is>
          <t>CDS</t>
        </is>
      </c>
      <c r="F362" t="n">
        <v>0</v>
      </c>
      <c r="G362" t="n">
        <v>0</v>
      </c>
      <c r="H362" t="n">
        <v>0</v>
      </c>
      <c r="I362" t="n">
        <v>0</v>
      </c>
      <c r="J362" t="n">
        <v>0</v>
      </c>
      <c r="K362" t="n">
        <v>0</v>
      </c>
      <c r="L362" t="n">
        <v>0</v>
      </c>
      <c r="M362">
        <f>F362+G362+H362+K362-I362-J362-L362</f>
        <v/>
      </c>
      <c r="N362" t="inlineStr">
        <is>
          <t>NO APLICA</t>
        </is>
      </c>
      <c r="O362" t="n">
        <v>5</v>
      </c>
      <c r="P362">
        <f>IF(M362&lt;0, "ERROR: SOBREGIRO", IF(M362=0, "SIN EXISTENCIAS", IF(M362&lt;=O362, "STOCK BAJO", "STOCK NORMAL")))</f>
        <v/>
      </c>
    </row>
    <row r="363">
      <c r="A363" t="n">
        <v>7835</v>
      </c>
      <c r="B363" t="inlineStr">
        <is>
          <t>CURVA EMT 1/2"</t>
        </is>
      </c>
      <c r="C363" t="inlineStr">
        <is>
          <t>Materiales</t>
        </is>
      </c>
      <c r="D363" t="inlineStr">
        <is>
          <t>Unidad</t>
        </is>
      </c>
      <c r="E363" t="inlineStr">
        <is>
          <t>CDS</t>
        </is>
      </c>
      <c r="F363" t="n">
        <v>0</v>
      </c>
      <c r="G363" t="n">
        <v>0</v>
      </c>
      <c r="H363" t="n">
        <v>0</v>
      </c>
      <c r="I363" t="n">
        <v>0</v>
      </c>
      <c r="J363" t="n">
        <v>0</v>
      </c>
      <c r="K363" t="n">
        <v>0</v>
      </c>
      <c r="L363" t="n">
        <v>0</v>
      </c>
      <c r="M363">
        <f>F363+G363+H363+K363-I363-J363-L363</f>
        <v/>
      </c>
      <c r="N363" t="inlineStr">
        <is>
          <t>NO APLICA</t>
        </is>
      </c>
      <c r="O363" t="n">
        <v>5</v>
      </c>
      <c r="P363">
        <f>IF(M363&lt;0, "ERROR: SOBREGIRO", IF(M363=0, "SIN EXISTENCIAS", IF(M363&lt;=O363, "STOCK BAJO", "STOCK NORMAL")))</f>
        <v/>
      </c>
    </row>
    <row r="364">
      <c r="A364" t="n">
        <v>7837</v>
      </c>
      <c r="B364" t="inlineStr">
        <is>
          <t>CURVA EMT 2"</t>
        </is>
      </c>
      <c r="C364" t="inlineStr">
        <is>
          <t>Materiales</t>
        </is>
      </c>
      <c r="D364" t="inlineStr">
        <is>
          <t>Unidad</t>
        </is>
      </c>
      <c r="E364" t="inlineStr">
        <is>
          <t>CDS</t>
        </is>
      </c>
      <c r="F364" t="n">
        <v>0</v>
      </c>
      <c r="G364" t="n">
        <v>0</v>
      </c>
      <c r="H364" t="n">
        <v>0</v>
      </c>
      <c r="I364" t="n">
        <v>0</v>
      </c>
      <c r="J364" t="n">
        <v>0</v>
      </c>
      <c r="K364" t="n">
        <v>0</v>
      </c>
      <c r="L364" t="n">
        <v>0</v>
      </c>
      <c r="M364">
        <f>F364+G364+H364+K364-I364-J364-L364</f>
        <v/>
      </c>
      <c r="N364" t="inlineStr">
        <is>
          <t>NO APLICA</t>
        </is>
      </c>
      <c r="O364" t="n">
        <v>5</v>
      </c>
      <c r="P364">
        <f>IF(M364&lt;0, "ERROR: SOBREGIRO", IF(M364=0, "SIN EXISTENCIAS", IF(M364&lt;=O364, "STOCK BAJO", "STOCK NORMAL")))</f>
        <v/>
      </c>
    </row>
    <row r="365">
      <c r="A365" t="n">
        <v>7838</v>
      </c>
      <c r="B365" t="inlineStr">
        <is>
          <t>CURVA EMT 3/4"</t>
        </is>
      </c>
      <c r="C365" t="inlineStr">
        <is>
          <t>Materiales</t>
        </is>
      </c>
      <c r="D365" t="inlineStr">
        <is>
          <t>Unidad</t>
        </is>
      </c>
      <c r="E365" t="inlineStr">
        <is>
          <t>CDS</t>
        </is>
      </c>
      <c r="F365" t="n">
        <v>0</v>
      </c>
      <c r="G365" t="n">
        <v>0</v>
      </c>
      <c r="H365" t="n">
        <v>0</v>
      </c>
      <c r="I365" t="n">
        <v>0</v>
      </c>
      <c r="J365" t="n">
        <v>0</v>
      </c>
      <c r="K365" t="n">
        <v>0</v>
      </c>
      <c r="L365" t="n">
        <v>0</v>
      </c>
      <c r="M365">
        <f>F365+G365+H365+K365-I365-J365-L365</f>
        <v/>
      </c>
      <c r="N365" t="inlineStr">
        <is>
          <t>NO APLICA</t>
        </is>
      </c>
      <c r="O365" t="n">
        <v>5</v>
      </c>
      <c r="P365">
        <f>IF(M365&lt;0, "ERROR: SOBREGIRO", IF(M365=0, "SIN EXISTENCIAS", IF(M365&lt;=O365, "STOCK BAJO", "STOCK NORMAL")))</f>
        <v/>
      </c>
    </row>
    <row r="366">
      <c r="A366" t="n">
        <v>7839</v>
      </c>
      <c r="B366" t="inlineStr">
        <is>
          <t>CURVA IMC 1 1/2"</t>
        </is>
      </c>
      <c r="C366" t="inlineStr">
        <is>
          <t>Materiales</t>
        </is>
      </c>
      <c r="D366" t="inlineStr">
        <is>
          <t>Unidad</t>
        </is>
      </c>
      <c r="E366" t="inlineStr">
        <is>
          <t>CDS</t>
        </is>
      </c>
      <c r="F366" t="n">
        <v>0</v>
      </c>
      <c r="G366" t="n">
        <v>0</v>
      </c>
      <c r="H366" t="n">
        <v>0</v>
      </c>
      <c r="I366" t="n">
        <v>0</v>
      </c>
      <c r="J366" t="n">
        <v>0</v>
      </c>
      <c r="K366" t="n">
        <v>0</v>
      </c>
      <c r="L366" t="n">
        <v>0</v>
      </c>
      <c r="M366">
        <f>F366+G366+H366+K366-I366-J366-L366</f>
        <v/>
      </c>
      <c r="N366" t="inlineStr">
        <is>
          <t>NO APLICA</t>
        </is>
      </c>
      <c r="O366" t="n">
        <v>5</v>
      </c>
      <c r="P366">
        <f>IF(M366&lt;0, "ERROR: SOBREGIRO", IF(M366=0, "SIN EXISTENCIAS", IF(M366&lt;=O366, "STOCK BAJO", "STOCK NORMAL")))</f>
        <v/>
      </c>
    </row>
    <row r="367">
      <c r="A367" t="n">
        <v>7841</v>
      </c>
      <c r="B367" t="inlineStr">
        <is>
          <t>CURVA IMC 1"</t>
        </is>
      </c>
      <c r="C367" t="inlineStr">
        <is>
          <t>Materiales</t>
        </is>
      </c>
      <c r="D367" t="inlineStr">
        <is>
          <t>Unidad</t>
        </is>
      </c>
      <c r="E367" t="inlineStr">
        <is>
          <t>CDS</t>
        </is>
      </c>
      <c r="F367" t="n">
        <v>0</v>
      </c>
      <c r="G367" t="n">
        <v>0</v>
      </c>
      <c r="H367" t="n">
        <v>0</v>
      </c>
      <c r="I367" t="n">
        <v>0</v>
      </c>
      <c r="J367" t="n">
        <v>0</v>
      </c>
      <c r="K367" t="n">
        <v>0</v>
      </c>
      <c r="L367" t="n">
        <v>0</v>
      </c>
      <c r="M367">
        <f>F367+G367+H367+K367-I367-J367-L367</f>
        <v/>
      </c>
      <c r="N367" t="inlineStr">
        <is>
          <t>NO APLICA</t>
        </is>
      </c>
      <c r="O367" t="n">
        <v>5</v>
      </c>
      <c r="P367">
        <f>IF(M367&lt;0, "ERROR: SOBREGIRO", IF(M367=0, "SIN EXISTENCIAS", IF(M367&lt;=O367, "STOCK BAJO", "STOCK NORMAL")))</f>
        <v/>
      </c>
    </row>
    <row r="368">
      <c r="A368" t="n">
        <v>7844</v>
      </c>
      <c r="B368" t="inlineStr">
        <is>
          <t>CURVA IMC 2"</t>
        </is>
      </c>
      <c r="C368" t="inlineStr">
        <is>
          <t>Materiales</t>
        </is>
      </c>
      <c r="D368" t="inlineStr">
        <is>
          <t>Unidad</t>
        </is>
      </c>
      <c r="E368" t="inlineStr">
        <is>
          <t>CDS</t>
        </is>
      </c>
      <c r="F368" t="n">
        <v>0</v>
      </c>
      <c r="G368" t="n">
        <v>0</v>
      </c>
      <c r="H368" t="n">
        <v>0</v>
      </c>
      <c r="I368" t="n">
        <v>0</v>
      </c>
      <c r="J368" t="n">
        <v>0</v>
      </c>
      <c r="K368" t="n">
        <v>0</v>
      </c>
      <c r="L368" t="n">
        <v>0</v>
      </c>
      <c r="M368">
        <f>F368+G368+H368+K368-I368-J368-L368</f>
        <v/>
      </c>
      <c r="N368" t="inlineStr">
        <is>
          <t>NO APLICA</t>
        </is>
      </c>
      <c r="O368" t="n">
        <v>5</v>
      </c>
      <c r="P368">
        <f>IF(M368&lt;0, "ERROR: SOBREGIRO", IF(M368=0, "SIN EXISTENCIAS", IF(M368&lt;=O368, "STOCK BAJO", "STOCK NORMAL")))</f>
        <v/>
      </c>
    </row>
    <row r="369">
      <c r="A369" t="n">
        <v>7845</v>
      </c>
      <c r="B369" t="inlineStr">
        <is>
          <t>CURVA IMC 3/4"</t>
        </is>
      </c>
      <c r="C369" t="inlineStr">
        <is>
          <t>Materiales</t>
        </is>
      </c>
      <c r="D369" t="inlineStr">
        <is>
          <t>Unidad</t>
        </is>
      </c>
      <c r="E369" t="inlineStr">
        <is>
          <t>CDS</t>
        </is>
      </c>
      <c r="F369" t="n">
        <v>0</v>
      </c>
      <c r="G369" t="n">
        <v>0</v>
      </c>
      <c r="H369" t="n">
        <v>0</v>
      </c>
      <c r="I369" t="n">
        <v>0</v>
      </c>
      <c r="J369" t="n">
        <v>0</v>
      </c>
      <c r="K369" t="n">
        <v>0</v>
      </c>
      <c r="L369" t="n">
        <v>0</v>
      </c>
      <c r="M369">
        <f>F369+G369+H369+K369-I369-J369-L369</f>
        <v/>
      </c>
      <c r="N369" t="inlineStr">
        <is>
          <t>NO APLICA</t>
        </is>
      </c>
      <c r="O369" t="n">
        <v>5</v>
      </c>
      <c r="P369">
        <f>IF(M369&lt;0, "ERROR: SOBREGIRO", IF(M369=0, "SIN EXISTENCIAS", IF(M369&lt;=O369, "STOCK BAJO", "STOCK NORMAL")))</f>
        <v/>
      </c>
    </row>
    <row r="370">
      <c r="A370" t="n">
        <v>7896</v>
      </c>
      <c r="B370" t="inlineStr">
        <is>
          <t>TERMINAL EMT 1 1/2"</t>
        </is>
      </c>
      <c r="C370" t="inlineStr">
        <is>
          <t>Elementos electricos</t>
        </is>
      </c>
      <c r="D370" t="inlineStr">
        <is>
          <t>Unidad</t>
        </is>
      </c>
      <c r="E370" t="inlineStr">
        <is>
          <t>CDS</t>
        </is>
      </c>
      <c r="F370" t="n">
        <v>0</v>
      </c>
      <c r="G370" t="n">
        <v>0</v>
      </c>
      <c r="H370" t="n">
        <v>0</v>
      </c>
      <c r="I370" t="n">
        <v>0</v>
      </c>
      <c r="J370" t="n">
        <v>0</v>
      </c>
      <c r="K370" t="n">
        <v>0</v>
      </c>
      <c r="L370" t="n">
        <v>0</v>
      </c>
      <c r="M370">
        <f>F370+G370+H370+K370-I370-J370-L370</f>
        <v/>
      </c>
      <c r="N370" t="inlineStr">
        <is>
          <t>NO APLICA</t>
        </is>
      </c>
      <c r="O370" t="n">
        <v>5</v>
      </c>
      <c r="P370">
        <f>IF(M370&lt;0, "ERROR: SOBREGIRO", IF(M370=0, "SIN EXISTENCIAS", IF(M370&lt;=O370, "STOCK BAJO", "STOCK NORMAL")))</f>
        <v/>
      </c>
    </row>
    <row r="371">
      <c r="A371" t="n">
        <v>7898</v>
      </c>
      <c r="B371" t="inlineStr">
        <is>
          <t>TERMINAL EMT 1"</t>
        </is>
      </c>
      <c r="C371" t="inlineStr">
        <is>
          <t>Elementos electricos</t>
        </is>
      </c>
      <c r="D371" t="inlineStr">
        <is>
          <t>Unidad</t>
        </is>
      </c>
      <c r="E371" t="inlineStr">
        <is>
          <t>CDS</t>
        </is>
      </c>
      <c r="F371" t="n">
        <v>0</v>
      </c>
      <c r="G371" t="n">
        <v>0</v>
      </c>
      <c r="H371" t="n">
        <v>0</v>
      </c>
      <c r="I371" t="n">
        <v>0</v>
      </c>
      <c r="J371" t="n">
        <v>0</v>
      </c>
      <c r="K371" t="n">
        <v>0</v>
      </c>
      <c r="L371" t="n">
        <v>0</v>
      </c>
      <c r="M371">
        <f>F371+G371+H371+K371-I371-J371-L371</f>
        <v/>
      </c>
      <c r="N371" t="inlineStr">
        <is>
          <t>NO APLICA</t>
        </is>
      </c>
      <c r="O371" t="n">
        <v>5</v>
      </c>
      <c r="P371">
        <f>IF(M371&lt;0, "ERROR: SOBREGIRO", IF(M371=0, "SIN EXISTENCIAS", IF(M371&lt;=O371, "STOCK BAJO", "STOCK NORMAL")))</f>
        <v/>
      </c>
    </row>
    <row r="372">
      <c r="A372" t="n">
        <v>7899</v>
      </c>
      <c r="B372" t="inlineStr">
        <is>
          <t>TERMINAL EMT 1/2"</t>
        </is>
      </c>
      <c r="C372" t="inlineStr">
        <is>
          <t>Elementos electricos</t>
        </is>
      </c>
      <c r="D372" t="inlineStr">
        <is>
          <t>Unidad</t>
        </is>
      </c>
      <c r="E372" t="inlineStr">
        <is>
          <t>CDS</t>
        </is>
      </c>
      <c r="F372" t="n">
        <v>0</v>
      </c>
      <c r="G372" t="n">
        <v>0</v>
      </c>
      <c r="H372" t="n">
        <v>0</v>
      </c>
      <c r="I372" t="n">
        <v>0</v>
      </c>
      <c r="J372" t="n">
        <v>0</v>
      </c>
      <c r="K372" t="n">
        <v>0</v>
      </c>
      <c r="L372" t="n">
        <v>0</v>
      </c>
      <c r="M372">
        <f>F372+G372+H372+K372-I372-J372-L372</f>
        <v/>
      </c>
      <c r="N372" t="inlineStr">
        <is>
          <t>NO APLICA</t>
        </is>
      </c>
      <c r="O372" t="n">
        <v>5</v>
      </c>
      <c r="P372">
        <f>IF(M372&lt;0, "ERROR: SOBREGIRO", IF(M372=0, "SIN EXISTENCIAS", IF(M372&lt;=O372, "STOCK BAJO", "STOCK NORMAL")))</f>
        <v/>
      </c>
    </row>
    <row r="373">
      <c r="A373" t="n">
        <v>7900</v>
      </c>
      <c r="B373" t="inlineStr">
        <is>
          <t>TERMINAL EMT 2"</t>
        </is>
      </c>
      <c r="C373" t="inlineStr">
        <is>
          <t>Elementos electricos</t>
        </is>
      </c>
      <c r="D373" t="inlineStr">
        <is>
          <t>Unidad</t>
        </is>
      </c>
      <c r="E373" t="inlineStr">
        <is>
          <t>CDS</t>
        </is>
      </c>
      <c r="F373" t="n">
        <v>0</v>
      </c>
      <c r="G373" t="n">
        <v>0</v>
      </c>
      <c r="H373" t="n">
        <v>0</v>
      </c>
      <c r="I373" t="n">
        <v>0</v>
      </c>
      <c r="J373" t="n">
        <v>0</v>
      </c>
      <c r="K373" t="n">
        <v>0</v>
      </c>
      <c r="L373" t="n">
        <v>0</v>
      </c>
      <c r="M373">
        <f>F373+G373+H373+K373-I373-J373-L373</f>
        <v/>
      </c>
      <c r="N373" t="inlineStr">
        <is>
          <t>NO APLICA</t>
        </is>
      </c>
      <c r="O373" t="n">
        <v>5</v>
      </c>
      <c r="P373">
        <f>IF(M373&lt;0, "ERROR: SOBREGIRO", IF(M373=0, "SIN EXISTENCIAS", IF(M373&lt;=O373, "STOCK BAJO", "STOCK NORMAL")))</f>
        <v/>
      </c>
    </row>
    <row r="374">
      <c r="A374" t="n">
        <v>7901</v>
      </c>
      <c r="B374" t="inlineStr">
        <is>
          <t>TERMINAL EMT 3/4"</t>
        </is>
      </c>
      <c r="C374" t="inlineStr">
        <is>
          <t>Elementos electricos</t>
        </is>
      </c>
      <c r="D374" t="inlineStr">
        <is>
          <t>Unidad</t>
        </is>
      </c>
      <c r="E374" t="inlineStr">
        <is>
          <t>CDS</t>
        </is>
      </c>
      <c r="F374" t="n">
        <v>0</v>
      </c>
      <c r="G374" t="n">
        <v>0</v>
      </c>
      <c r="H374" t="n">
        <v>0</v>
      </c>
      <c r="I374" t="n">
        <v>0</v>
      </c>
      <c r="J374" t="n">
        <v>0</v>
      </c>
      <c r="K374" t="n">
        <v>0</v>
      </c>
      <c r="L374" t="n">
        <v>0</v>
      </c>
      <c r="M374">
        <f>F374+G374+H374+K374-I374-J374-L374</f>
        <v/>
      </c>
      <c r="N374" t="inlineStr">
        <is>
          <t>NO APLICA</t>
        </is>
      </c>
      <c r="O374" t="n">
        <v>5</v>
      </c>
      <c r="P374">
        <f>IF(M374&lt;0, "ERROR: SOBREGIRO", IF(M374=0, "SIN EXISTENCIAS", IF(M374&lt;=O374, "STOCK BAJO", "STOCK NORMAL")))</f>
        <v/>
      </c>
    </row>
    <row r="375">
      <c r="A375" t="n">
        <v>7904</v>
      </c>
      <c r="B375" t="inlineStr">
        <is>
          <t>TUBO CONDUIT PVC (SCH 40) 1"</t>
        </is>
      </c>
      <c r="C375" t="inlineStr">
        <is>
          <t>Materiales</t>
        </is>
      </c>
      <c r="D375" t="inlineStr">
        <is>
          <t>Unidad</t>
        </is>
      </c>
      <c r="E375" t="inlineStr">
        <is>
          <t>CDS</t>
        </is>
      </c>
      <c r="F375" t="n">
        <v>0</v>
      </c>
      <c r="G375" t="n">
        <v>0</v>
      </c>
      <c r="H375" t="n">
        <v>0</v>
      </c>
      <c r="I375" t="n">
        <v>0</v>
      </c>
      <c r="J375" t="n">
        <v>0</v>
      </c>
      <c r="K375" t="n">
        <v>0</v>
      </c>
      <c r="L375" t="n">
        <v>0</v>
      </c>
      <c r="M375">
        <f>F375+G375+H375+K375-I375-J375-L375</f>
        <v/>
      </c>
      <c r="N375" t="inlineStr">
        <is>
          <t>NO APLICA</t>
        </is>
      </c>
      <c r="O375" t="n">
        <v>5</v>
      </c>
      <c r="P375">
        <f>IF(M375&lt;0, "ERROR: SOBREGIRO", IF(M375=0, "SIN EXISTENCIAS", IF(M375&lt;=O375, "STOCK BAJO", "STOCK NORMAL")))</f>
        <v/>
      </c>
    </row>
    <row r="376">
      <c r="A376" t="n">
        <v>7906</v>
      </c>
      <c r="B376" t="inlineStr">
        <is>
          <t>TUBO CONDUIT PVC (SCH 40) 2"</t>
        </is>
      </c>
      <c r="C376" t="inlineStr">
        <is>
          <t>Materiales</t>
        </is>
      </c>
      <c r="D376" t="inlineStr">
        <is>
          <t>Unidad</t>
        </is>
      </c>
      <c r="E376" t="inlineStr">
        <is>
          <t>CDS</t>
        </is>
      </c>
      <c r="F376" t="n">
        <v>0</v>
      </c>
      <c r="G376" t="n">
        <v>0</v>
      </c>
      <c r="H376" t="n">
        <v>0</v>
      </c>
      <c r="I376" t="n">
        <v>0</v>
      </c>
      <c r="J376" t="n">
        <v>0</v>
      </c>
      <c r="K376" t="n">
        <v>0</v>
      </c>
      <c r="L376" t="n">
        <v>0</v>
      </c>
      <c r="M376">
        <f>F376+G376+H376+K376-I376-J376-L376</f>
        <v/>
      </c>
      <c r="N376" t="inlineStr">
        <is>
          <t>NO APLICA</t>
        </is>
      </c>
      <c r="O376" t="n">
        <v>5</v>
      </c>
      <c r="P376">
        <f>IF(M376&lt;0, "ERROR: SOBREGIRO", IF(M376=0, "SIN EXISTENCIAS", IF(M376&lt;=O376, "STOCK BAJO", "STOCK NORMAL")))</f>
        <v/>
      </c>
    </row>
    <row r="377">
      <c r="A377" t="n">
        <v>7908</v>
      </c>
      <c r="B377" t="inlineStr">
        <is>
          <t>TUBO CONDUIT PVC (SCH 40) 3/4"</t>
        </is>
      </c>
      <c r="C377" t="inlineStr">
        <is>
          <t>Materiales</t>
        </is>
      </c>
      <c r="D377" t="inlineStr">
        <is>
          <t>Unidad</t>
        </is>
      </c>
      <c r="E377" t="inlineStr">
        <is>
          <t>CDS</t>
        </is>
      </c>
      <c r="F377" t="n">
        <v>0</v>
      </c>
      <c r="G377" t="n">
        <v>0</v>
      </c>
      <c r="H377" t="n">
        <v>0</v>
      </c>
      <c r="I377" t="n">
        <v>0</v>
      </c>
      <c r="J377" t="n">
        <v>0</v>
      </c>
      <c r="K377" t="n">
        <v>0</v>
      </c>
      <c r="L377" t="n">
        <v>0</v>
      </c>
      <c r="M377">
        <f>F377+G377+H377+K377-I377-J377-L377</f>
        <v/>
      </c>
      <c r="N377" t="inlineStr">
        <is>
          <t>NO APLICA</t>
        </is>
      </c>
      <c r="O377" t="n">
        <v>5</v>
      </c>
      <c r="P377">
        <f>IF(M377&lt;0, "ERROR: SOBREGIRO", IF(M377=0, "SIN EXISTENCIAS", IF(M377&lt;=O377, "STOCK BAJO", "STOCK NORMAL")))</f>
        <v/>
      </c>
    </row>
    <row r="378">
      <c r="A378" t="n">
        <v>7909</v>
      </c>
      <c r="B378" t="inlineStr">
        <is>
          <t>TUBO CONDUIT PVC 1 1/2"</t>
        </is>
      </c>
      <c r="C378" t="inlineStr">
        <is>
          <t>Materiales</t>
        </is>
      </c>
      <c r="D378" t="inlineStr">
        <is>
          <t>Unidad</t>
        </is>
      </c>
      <c r="E378" t="inlineStr">
        <is>
          <t>CDS</t>
        </is>
      </c>
      <c r="F378" t="n">
        <v>0</v>
      </c>
      <c r="G378" t="n">
        <v>0</v>
      </c>
      <c r="H378" t="n">
        <v>0</v>
      </c>
      <c r="I378" t="n">
        <v>0</v>
      </c>
      <c r="J378" t="n">
        <v>0</v>
      </c>
      <c r="K378" t="n">
        <v>0</v>
      </c>
      <c r="L378" t="n">
        <v>0</v>
      </c>
      <c r="M378">
        <f>F378+G378+H378+K378-I378-J378-L378</f>
        <v/>
      </c>
      <c r="N378" t="inlineStr">
        <is>
          <t>NO APLICA</t>
        </is>
      </c>
      <c r="O378" t="n">
        <v>5</v>
      </c>
      <c r="P378">
        <f>IF(M378&lt;0, "ERROR: SOBREGIRO", IF(M378=0, "SIN EXISTENCIAS", IF(M378&lt;=O378, "STOCK BAJO", "STOCK NORMAL")))</f>
        <v/>
      </c>
    </row>
    <row r="379">
      <c r="A379" t="n">
        <v>7911</v>
      </c>
      <c r="B379" t="inlineStr">
        <is>
          <t>TUBO CONDUIT PVC 1"</t>
        </is>
      </c>
      <c r="C379" t="inlineStr">
        <is>
          <t>Materiales</t>
        </is>
      </c>
      <c r="D379" t="inlineStr">
        <is>
          <t>Unidad</t>
        </is>
      </c>
      <c r="E379" t="inlineStr">
        <is>
          <t>CDS</t>
        </is>
      </c>
      <c r="F379" t="n">
        <v>0</v>
      </c>
      <c r="G379" t="n">
        <v>0</v>
      </c>
      <c r="H379" t="n">
        <v>0</v>
      </c>
      <c r="I379" t="n">
        <v>0</v>
      </c>
      <c r="J379" t="n">
        <v>0</v>
      </c>
      <c r="K379" t="n">
        <v>0</v>
      </c>
      <c r="L379" t="n">
        <v>0</v>
      </c>
      <c r="M379">
        <f>F379+G379+H379+K379-I379-J379-L379</f>
        <v/>
      </c>
      <c r="N379" t="inlineStr">
        <is>
          <t>NO APLICA</t>
        </is>
      </c>
      <c r="O379" t="n">
        <v>5</v>
      </c>
      <c r="P379">
        <f>IF(M379&lt;0, "ERROR: SOBREGIRO", IF(M379=0, "SIN EXISTENCIAS", IF(M379&lt;=O379, "STOCK BAJO", "STOCK NORMAL")))</f>
        <v/>
      </c>
    </row>
    <row r="380">
      <c r="A380" t="n">
        <v>7912</v>
      </c>
      <c r="B380" t="inlineStr">
        <is>
          <t>TUBO CONDUIT PVC 1/2"</t>
        </is>
      </c>
      <c r="C380" t="inlineStr">
        <is>
          <t>Materiales</t>
        </is>
      </c>
      <c r="D380" t="inlineStr">
        <is>
          <t>Unidad</t>
        </is>
      </c>
      <c r="E380" t="inlineStr">
        <is>
          <t>CDS</t>
        </is>
      </c>
      <c r="F380" t="n">
        <v>0</v>
      </c>
      <c r="G380" t="n">
        <v>0</v>
      </c>
      <c r="H380" t="n">
        <v>0</v>
      </c>
      <c r="I380" t="n">
        <v>0</v>
      </c>
      <c r="J380" t="n">
        <v>0</v>
      </c>
      <c r="K380" t="n">
        <v>0</v>
      </c>
      <c r="L380" t="n">
        <v>0</v>
      </c>
      <c r="M380">
        <f>F380+G380+H380+K380-I380-J380-L380</f>
        <v/>
      </c>
      <c r="N380" t="inlineStr">
        <is>
          <t>NO APLICA</t>
        </is>
      </c>
      <c r="O380" t="n">
        <v>5</v>
      </c>
      <c r="P380">
        <f>IF(M380&lt;0, "ERROR: SOBREGIRO", IF(M380=0, "SIN EXISTENCIAS", IF(M380&lt;=O380, "STOCK BAJO", "STOCK NORMAL")))</f>
        <v/>
      </c>
    </row>
    <row r="381">
      <c r="A381" t="n">
        <v>7915</v>
      </c>
      <c r="B381" t="inlineStr">
        <is>
          <t>TUBO CONDUIT PVC 3/4"</t>
        </is>
      </c>
      <c r="C381" t="inlineStr">
        <is>
          <t>Materiales</t>
        </is>
      </c>
      <c r="D381" t="inlineStr">
        <is>
          <t>Unidad</t>
        </is>
      </c>
      <c r="E381" t="inlineStr">
        <is>
          <t>CDS</t>
        </is>
      </c>
      <c r="F381" t="n">
        <v>0</v>
      </c>
      <c r="G381" t="n">
        <v>0</v>
      </c>
      <c r="H381" t="n">
        <v>0</v>
      </c>
      <c r="I381" t="n">
        <v>0</v>
      </c>
      <c r="J381" t="n">
        <v>0</v>
      </c>
      <c r="K381" t="n">
        <v>0</v>
      </c>
      <c r="L381" t="n">
        <v>0</v>
      </c>
      <c r="M381">
        <f>F381+G381+H381+K381-I381-J381-L381</f>
        <v/>
      </c>
      <c r="N381" t="inlineStr">
        <is>
          <t>NO APLICA</t>
        </is>
      </c>
      <c r="O381" t="n">
        <v>5</v>
      </c>
      <c r="P381">
        <f>IF(M381&lt;0, "ERROR: SOBREGIRO", IF(M381=0, "SIN EXISTENCIAS", IF(M381&lt;=O381, "STOCK BAJO", "STOCK NORMAL")))</f>
        <v/>
      </c>
    </row>
    <row r="382">
      <c r="A382" t="n">
        <v>7923</v>
      </c>
      <c r="B382" t="inlineStr">
        <is>
          <t>TUBO EMT 1 1/2"</t>
        </is>
      </c>
      <c r="C382" t="inlineStr">
        <is>
          <t>Materiales</t>
        </is>
      </c>
      <c r="D382" t="inlineStr">
        <is>
          <t>Unidad</t>
        </is>
      </c>
      <c r="E382" t="inlineStr">
        <is>
          <t>CDS</t>
        </is>
      </c>
      <c r="F382" t="n">
        <v>0</v>
      </c>
      <c r="G382" t="n">
        <v>0</v>
      </c>
      <c r="H382" t="n">
        <v>0</v>
      </c>
      <c r="I382" t="n">
        <v>0</v>
      </c>
      <c r="J382" t="n">
        <v>0</v>
      </c>
      <c r="K382" t="n">
        <v>0</v>
      </c>
      <c r="L382" t="n">
        <v>0</v>
      </c>
      <c r="M382">
        <f>F382+G382+H382+K382-I382-J382-L382</f>
        <v/>
      </c>
      <c r="N382" t="inlineStr">
        <is>
          <t>NO APLICA</t>
        </is>
      </c>
      <c r="O382" t="n">
        <v>5</v>
      </c>
      <c r="P382">
        <f>IF(M382&lt;0, "ERROR: SOBREGIRO", IF(M382=0, "SIN EXISTENCIAS", IF(M382&lt;=O382, "STOCK BAJO", "STOCK NORMAL")))</f>
        <v/>
      </c>
    </row>
    <row r="383">
      <c r="A383" t="n">
        <v>7924</v>
      </c>
      <c r="B383" t="inlineStr">
        <is>
          <t>TUBO EMT 1 1/4"</t>
        </is>
      </c>
      <c r="C383" t="inlineStr">
        <is>
          <t>Materiales</t>
        </is>
      </c>
      <c r="D383" t="inlineStr">
        <is>
          <t>Unidad</t>
        </is>
      </c>
      <c r="E383" t="inlineStr">
        <is>
          <t>CDS</t>
        </is>
      </c>
      <c r="F383" t="n">
        <v>0</v>
      </c>
      <c r="G383" t="n">
        <v>0</v>
      </c>
      <c r="H383" t="n">
        <v>0</v>
      </c>
      <c r="I383" t="n">
        <v>0</v>
      </c>
      <c r="J383" t="n">
        <v>0</v>
      </c>
      <c r="K383" t="n">
        <v>0</v>
      </c>
      <c r="L383" t="n">
        <v>0</v>
      </c>
      <c r="M383">
        <f>F383+G383+H383+K383-I383-J383-L383</f>
        <v/>
      </c>
      <c r="N383" t="inlineStr">
        <is>
          <t>NO APLICA</t>
        </is>
      </c>
      <c r="O383" t="n">
        <v>5</v>
      </c>
      <c r="P383">
        <f>IF(M383&lt;0, "ERROR: SOBREGIRO", IF(M383=0, "SIN EXISTENCIAS", IF(M383&lt;=O383, "STOCK BAJO", "STOCK NORMAL")))</f>
        <v/>
      </c>
    </row>
    <row r="384">
      <c r="A384" t="n">
        <v>7925</v>
      </c>
      <c r="B384" t="inlineStr">
        <is>
          <t>TUBO EMT 1"</t>
        </is>
      </c>
      <c r="C384" t="inlineStr">
        <is>
          <t>Materiales</t>
        </is>
      </c>
      <c r="D384" t="inlineStr">
        <is>
          <t>Unidad</t>
        </is>
      </c>
      <c r="E384" t="inlineStr">
        <is>
          <t>CDS</t>
        </is>
      </c>
      <c r="F384" t="n">
        <v>0</v>
      </c>
      <c r="G384" t="n">
        <v>0</v>
      </c>
      <c r="H384" t="n">
        <v>0</v>
      </c>
      <c r="I384" t="n">
        <v>0</v>
      </c>
      <c r="J384" t="n">
        <v>0</v>
      </c>
      <c r="K384" t="n">
        <v>0</v>
      </c>
      <c r="L384" t="n">
        <v>0</v>
      </c>
      <c r="M384">
        <f>F384+G384+H384+K384-I384-J384-L384</f>
        <v/>
      </c>
      <c r="N384" t="inlineStr">
        <is>
          <t>NO APLICA</t>
        </is>
      </c>
      <c r="O384" t="n">
        <v>5</v>
      </c>
      <c r="P384">
        <f>IF(M384&lt;0, "ERROR: SOBREGIRO", IF(M384=0, "SIN EXISTENCIAS", IF(M384&lt;=O384, "STOCK BAJO", "STOCK NORMAL")))</f>
        <v/>
      </c>
    </row>
    <row r="385">
      <c r="A385" t="n">
        <v>7926</v>
      </c>
      <c r="B385" t="inlineStr">
        <is>
          <t>TUBO EMT 1/2"</t>
        </is>
      </c>
      <c r="C385" t="inlineStr">
        <is>
          <t>Materiales</t>
        </is>
      </c>
      <c r="D385" t="inlineStr">
        <is>
          <t>Unidad</t>
        </is>
      </c>
      <c r="E385" t="inlineStr">
        <is>
          <t>CDS</t>
        </is>
      </c>
      <c r="F385" t="n">
        <v>0</v>
      </c>
      <c r="G385" t="n">
        <v>0</v>
      </c>
      <c r="H385" t="n">
        <v>0</v>
      </c>
      <c r="I385" t="n">
        <v>0</v>
      </c>
      <c r="J385" t="n">
        <v>0</v>
      </c>
      <c r="K385" t="n">
        <v>0</v>
      </c>
      <c r="L385" t="n">
        <v>0</v>
      </c>
      <c r="M385">
        <f>F385+G385+H385+K385-I385-J385-L385</f>
        <v/>
      </c>
      <c r="N385" t="inlineStr">
        <is>
          <t>NO APLICA</t>
        </is>
      </c>
      <c r="O385" t="n">
        <v>5</v>
      </c>
      <c r="P385">
        <f>IF(M385&lt;0, "ERROR: SOBREGIRO", IF(M385=0, "SIN EXISTENCIAS", IF(M385&lt;=O385, "STOCK BAJO", "STOCK NORMAL")))</f>
        <v/>
      </c>
    </row>
    <row r="386">
      <c r="A386" t="n">
        <v>7927</v>
      </c>
      <c r="B386" t="inlineStr">
        <is>
          <t>TUBO EMT 2"</t>
        </is>
      </c>
      <c r="C386" t="inlineStr">
        <is>
          <t>Materiales</t>
        </is>
      </c>
      <c r="D386" t="inlineStr">
        <is>
          <t>Unidad</t>
        </is>
      </c>
      <c r="E386" t="inlineStr">
        <is>
          <t>CDS</t>
        </is>
      </c>
      <c r="F386" t="n">
        <v>0</v>
      </c>
      <c r="G386" t="n">
        <v>0</v>
      </c>
      <c r="H386" t="n">
        <v>0</v>
      </c>
      <c r="I386" t="n">
        <v>0</v>
      </c>
      <c r="J386" t="n">
        <v>0</v>
      </c>
      <c r="K386" t="n">
        <v>0</v>
      </c>
      <c r="L386" t="n">
        <v>0</v>
      </c>
      <c r="M386">
        <f>F386+G386+H386+K386-I386-J386-L386</f>
        <v/>
      </c>
      <c r="N386" t="inlineStr">
        <is>
          <t>NO APLICA</t>
        </is>
      </c>
      <c r="O386" t="n">
        <v>5</v>
      </c>
      <c r="P386">
        <f>IF(M386&lt;0, "ERROR: SOBREGIRO", IF(M386=0, "SIN EXISTENCIAS", IF(M386&lt;=O386, "STOCK BAJO", "STOCK NORMAL")))</f>
        <v/>
      </c>
    </row>
    <row r="387">
      <c r="A387" t="n">
        <v>7928</v>
      </c>
      <c r="B387" t="inlineStr">
        <is>
          <t>TUBO EMT 3/4"</t>
        </is>
      </c>
      <c r="C387" t="inlineStr">
        <is>
          <t>Materiales</t>
        </is>
      </c>
      <c r="D387" t="inlineStr">
        <is>
          <t>Unidad</t>
        </is>
      </c>
      <c r="E387" t="inlineStr">
        <is>
          <t>CDS</t>
        </is>
      </c>
      <c r="F387" t="n">
        <v>0</v>
      </c>
      <c r="G387" t="n">
        <v>0</v>
      </c>
      <c r="H387" t="n">
        <v>0</v>
      </c>
      <c r="I387" t="n">
        <v>0</v>
      </c>
      <c r="J387" t="n">
        <v>0</v>
      </c>
      <c r="K387" t="n">
        <v>0</v>
      </c>
      <c r="L387" t="n">
        <v>0</v>
      </c>
      <c r="M387">
        <f>F387+G387+H387+K387-I387-J387-L387</f>
        <v/>
      </c>
      <c r="N387" t="inlineStr">
        <is>
          <t>NO APLICA</t>
        </is>
      </c>
      <c r="O387" t="n">
        <v>5</v>
      </c>
      <c r="P387">
        <f>IF(M387&lt;0, "ERROR: SOBREGIRO", IF(M387=0, "SIN EXISTENCIAS", IF(M387&lt;=O387, "STOCK BAJO", "STOCK NORMAL")))</f>
        <v/>
      </c>
    </row>
    <row r="388">
      <c r="A388" t="n">
        <v>7930</v>
      </c>
      <c r="B388" t="inlineStr">
        <is>
          <t>TUBO IMC 1 1/4"</t>
        </is>
      </c>
      <c r="C388" t="inlineStr">
        <is>
          <t>Materiales</t>
        </is>
      </c>
      <c r="D388" t="inlineStr">
        <is>
          <t>Unidad</t>
        </is>
      </c>
      <c r="E388" t="inlineStr">
        <is>
          <t>CDS</t>
        </is>
      </c>
      <c r="F388" t="n">
        <v>0</v>
      </c>
      <c r="G388" t="n">
        <v>0</v>
      </c>
      <c r="H388" t="n">
        <v>0</v>
      </c>
      <c r="I388" t="n">
        <v>0</v>
      </c>
      <c r="J388" t="n">
        <v>0</v>
      </c>
      <c r="K388" t="n">
        <v>0</v>
      </c>
      <c r="L388" t="n">
        <v>0</v>
      </c>
      <c r="M388">
        <f>F388+G388+H388+K388-I388-J388-L388</f>
        <v/>
      </c>
      <c r="N388" t="inlineStr">
        <is>
          <t>NO APLICA</t>
        </is>
      </c>
      <c r="O388" t="n">
        <v>5</v>
      </c>
      <c r="P388">
        <f>IF(M388&lt;0, "ERROR: SOBREGIRO", IF(M388=0, "SIN EXISTENCIAS", IF(M388&lt;=O388, "STOCK BAJO", "STOCK NORMAL")))</f>
        <v/>
      </c>
    </row>
    <row r="389">
      <c r="A389" t="n">
        <v>7931</v>
      </c>
      <c r="B389" t="inlineStr">
        <is>
          <t>TUBO IMC 1"</t>
        </is>
      </c>
      <c r="C389" t="inlineStr">
        <is>
          <t>Materiales</t>
        </is>
      </c>
      <c r="D389" t="inlineStr">
        <is>
          <t>Unidad</t>
        </is>
      </c>
      <c r="E389" t="inlineStr">
        <is>
          <t>CDS</t>
        </is>
      </c>
      <c r="F389" t="n">
        <v>0</v>
      </c>
      <c r="G389" t="n">
        <v>0</v>
      </c>
      <c r="H389" t="n">
        <v>0</v>
      </c>
      <c r="I389" t="n">
        <v>0</v>
      </c>
      <c r="J389" t="n">
        <v>0</v>
      </c>
      <c r="K389" t="n">
        <v>0</v>
      </c>
      <c r="L389" t="n">
        <v>0</v>
      </c>
      <c r="M389">
        <f>F389+G389+H389+K389-I389-J389-L389</f>
        <v/>
      </c>
      <c r="N389" t="inlineStr">
        <is>
          <t>NO APLICA</t>
        </is>
      </c>
      <c r="O389" t="n">
        <v>5</v>
      </c>
      <c r="P389">
        <f>IF(M389&lt;0, "ERROR: SOBREGIRO", IF(M389=0, "SIN EXISTENCIAS", IF(M389&lt;=O389, "STOCK BAJO", "STOCK NORMAL")))</f>
        <v/>
      </c>
    </row>
    <row r="390">
      <c r="A390" t="n">
        <v>7932</v>
      </c>
      <c r="B390" t="inlineStr">
        <is>
          <t>TUBO IMC 1/2"</t>
        </is>
      </c>
      <c r="C390" t="inlineStr">
        <is>
          <t>Materiales</t>
        </is>
      </c>
      <c r="D390" t="inlineStr">
        <is>
          <t>Unidad</t>
        </is>
      </c>
      <c r="E390" t="inlineStr">
        <is>
          <t>CDS</t>
        </is>
      </c>
      <c r="F390" t="n">
        <v>0</v>
      </c>
      <c r="G390" t="n">
        <v>0</v>
      </c>
      <c r="H390" t="n">
        <v>0</v>
      </c>
      <c r="I390" t="n">
        <v>0</v>
      </c>
      <c r="J390" t="n">
        <v>0</v>
      </c>
      <c r="K390" t="n">
        <v>0</v>
      </c>
      <c r="L390" t="n">
        <v>0</v>
      </c>
      <c r="M390">
        <f>F390+G390+H390+K390-I390-J390-L390</f>
        <v/>
      </c>
      <c r="N390" t="inlineStr">
        <is>
          <t>NO APLICA</t>
        </is>
      </c>
      <c r="O390" t="n">
        <v>5</v>
      </c>
      <c r="P390">
        <f>IF(M390&lt;0, "ERROR: SOBREGIRO", IF(M390=0, "SIN EXISTENCIAS", IF(M390&lt;=O390, "STOCK BAJO", "STOCK NORMAL")))</f>
        <v/>
      </c>
    </row>
    <row r="391">
      <c r="A391" t="n">
        <v>7934</v>
      </c>
      <c r="B391" t="inlineStr">
        <is>
          <t>TUBO IMC 2"</t>
        </is>
      </c>
      <c r="C391" t="inlineStr">
        <is>
          <t>Materiales</t>
        </is>
      </c>
      <c r="D391" t="inlineStr">
        <is>
          <t>Unidad</t>
        </is>
      </c>
      <c r="E391" t="inlineStr">
        <is>
          <t>CDS</t>
        </is>
      </c>
      <c r="F391" t="n">
        <v>0</v>
      </c>
      <c r="G391" t="n">
        <v>0</v>
      </c>
      <c r="H391" t="n">
        <v>0</v>
      </c>
      <c r="I391" t="n">
        <v>0</v>
      </c>
      <c r="J391" t="n">
        <v>0</v>
      </c>
      <c r="K391" t="n">
        <v>0</v>
      </c>
      <c r="L391" t="n">
        <v>0</v>
      </c>
      <c r="M391">
        <f>F391+G391+H391+K391-I391-J391-L391</f>
        <v/>
      </c>
      <c r="N391" t="inlineStr">
        <is>
          <t>NO APLICA</t>
        </is>
      </c>
      <c r="O391" t="n">
        <v>5</v>
      </c>
      <c r="P391">
        <f>IF(M391&lt;0, "ERROR: SOBREGIRO", IF(M391=0, "SIN EXISTENCIAS", IF(M391&lt;=O391, "STOCK BAJO", "STOCK NORMAL")))</f>
        <v/>
      </c>
    </row>
    <row r="392">
      <c r="A392" t="n">
        <v>7935</v>
      </c>
      <c r="B392" t="inlineStr">
        <is>
          <t>TUBO IMC 3/4"</t>
        </is>
      </c>
      <c r="C392" t="inlineStr">
        <is>
          <t>Materiales</t>
        </is>
      </c>
      <c r="D392" t="inlineStr">
        <is>
          <t>Unidad</t>
        </is>
      </c>
      <c r="E392" t="inlineStr">
        <is>
          <t>CDS</t>
        </is>
      </c>
      <c r="F392" t="n">
        <v>0</v>
      </c>
      <c r="G392" t="n">
        <v>0</v>
      </c>
      <c r="H392" t="n">
        <v>0</v>
      </c>
      <c r="I392" t="n">
        <v>0</v>
      </c>
      <c r="J392" t="n">
        <v>0</v>
      </c>
      <c r="K392" t="n">
        <v>0</v>
      </c>
      <c r="L392" t="n">
        <v>0</v>
      </c>
      <c r="M392">
        <f>F392+G392+H392+K392-I392-J392-L392</f>
        <v/>
      </c>
      <c r="N392" t="inlineStr">
        <is>
          <t>NO APLICA</t>
        </is>
      </c>
      <c r="O392" t="n">
        <v>5</v>
      </c>
      <c r="P392">
        <f>IF(M392&lt;0, "ERROR: SOBREGIRO", IF(M392=0, "SIN EXISTENCIAS", IF(M392&lt;=O392, "STOCK BAJO", "STOCK NORMAL")))</f>
        <v/>
      </c>
    </row>
    <row r="393">
      <c r="A393" t="n">
        <v>7938</v>
      </c>
      <c r="B393" t="inlineStr">
        <is>
          <t>TUBO PVC 1"</t>
        </is>
      </c>
      <c r="C393" t="inlineStr">
        <is>
          <t>Materiales</t>
        </is>
      </c>
      <c r="D393" t="inlineStr">
        <is>
          <t>Unidad</t>
        </is>
      </c>
      <c r="E393" t="inlineStr">
        <is>
          <t>CDS</t>
        </is>
      </c>
      <c r="F393" t="n">
        <v>0</v>
      </c>
      <c r="G393" t="n">
        <v>0</v>
      </c>
      <c r="H393" t="n">
        <v>0</v>
      </c>
      <c r="I393" t="n">
        <v>0</v>
      </c>
      <c r="J393" t="n">
        <v>0</v>
      </c>
      <c r="K393" t="n">
        <v>0</v>
      </c>
      <c r="L393" t="n">
        <v>0</v>
      </c>
      <c r="M393">
        <f>F393+G393+H393+K393-I393-J393-L393</f>
        <v/>
      </c>
      <c r="N393" t="inlineStr">
        <is>
          <t>NO APLICA</t>
        </is>
      </c>
      <c r="O393" t="n">
        <v>5</v>
      </c>
      <c r="P393">
        <f>IF(M393&lt;0, "ERROR: SOBREGIRO", IF(M393=0, "SIN EXISTENCIAS", IF(M393&lt;=O393, "STOCK BAJO", "STOCK NORMAL")))</f>
        <v/>
      </c>
    </row>
    <row r="394">
      <c r="A394" t="n">
        <v>7939</v>
      </c>
      <c r="B394" t="inlineStr">
        <is>
          <t>TUBO PVC 1/2"</t>
        </is>
      </c>
      <c r="C394" t="inlineStr">
        <is>
          <t>Materiales</t>
        </is>
      </c>
      <c r="D394" t="inlineStr">
        <is>
          <t>Unidad</t>
        </is>
      </c>
      <c r="E394" t="inlineStr">
        <is>
          <t>CDS</t>
        </is>
      </c>
      <c r="F394" t="n">
        <v>0</v>
      </c>
      <c r="G394" t="n">
        <v>0</v>
      </c>
      <c r="H394" t="n">
        <v>0</v>
      </c>
      <c r="I394" t="n">
        <v>0</v>
      </c>
      <c r="J394" t="n">
        <v>0</v>
      </c>
      <c r="K394" t="n">
        <v>0</v>
      </c>
      <c r="L394" t="n">
        <v>0</v>
      </c>
      <c r="M394">
        <f>F394+G394+H394+K394-I394-J394-L394</f>
        <v/>
      </c>
      <c r="N394" t="inlineStr">
        <is>
          <t>NO APLICA</t>
        </is>
      </c>
      <c r="O394" t="n">
        <v>5</v>
      </c>
      <c r="P394">
        <f>IF(M394&lt;0, "ERROR: SOBREGIRO", IF(M394=0, "SIN EXISTENCIAS", IF(M394&lt;=O394, "STOCK BAJO", "STOCK NORMAL")))</f>
        <v/>
      </c>
    </row>
    <row r="395">
      <c r="A395" t="n">
        <v>7961</v>
      </c>
      <c r="B395" t="inlineStr">
        <is>
          <t>UNION EMT 1 1/2"</t>
        </is>
      </c>
      <c r="C395" t="inlineStr">
        <is>
          <t>Materiales</t>
        </is>
      </c>
      <c r="D395" t="inlineStr">
        <is>
          <t>Unidad</t>
        </is>
      </c>
      <c r="E395" t="inlineStr">
        <is>
          <t>CDS</t>
        </is>
      </c>
      <c r="F395" t="n">
        <v>0</v>
      </c>
      <c r="G395" t="n">
        <v>0</v>
      </c>
      <c r="H395" t="n">
        <v>0</v>
      </c>
      <c r="I395" t="n">
        <v>0</v>
      </c>
      <c r="J395" t="n">
        <v>0</v>
      </c>
      <c r="K395" t="n">
        <v>0</v>
      </c>
      <c r="L395" t="n">
        <v>0</v>
      </c>
      <c r="M395">
        <f>F395+G395+H395+K395-I395-J395-L395</f>
        <v/>
      </c>
      <c r="N395" t="inlineStr">
        <is>
          <t>NO APLICA</t>
        </is>
      </c>
      <c r="O395" t="n">
        <v>5</v>
      </c>
      <c r="P395">
        <f>IF(M395&lt;0, "ERROR: SOBREGIRO", IF(M395=0, "SIN EXISTENCIAS", IF(M395&lt;=O395, "STOCK BAJO", "STOCK NORMAL")))</f>
        <v/>
      </c>
    </row>
    <row r="396">
      <c r="A396" t="n">
        <v>7962</v>
      </c>
      <c r="B396" t="inlineStr">
        <is>
          <t>UNION EMT 1 1/4"</t>
        </is>
      </c>
      <c r="C396" t="inlineStr">
        <is>
          <t>Materiales</t>
        </is>
      </c>
      <c r="D396" t="inlineStr">
        <is>
          <t>Unidad</t>
        </is>
      </c>
      <c r="E396" t="inlineStr">
        <is>
          <t>CDS</t>
        </is>
      </c>
      <c r="F396" t="n">
        <v>0</v>
      </c>
      <c r="G396" t="n">
        <v>0</v>
      </c>
      <c r="H396" t="n">
        <v>0</v>
      </c>
      <c r="I396" t="n">
        <v>0</v>
      </c>
      <c r="J396" t="n">
        <v>0</v>
      </c>
      <c r="K396" t="n">
        <v>0</v>
      </c>
      <c r="L396" t="n">
        <v>0</v>
      </c>
      <c r="M396">
        <f>F396+G396+H396+K396-I396-J396-L396</f>
        <v/>
      </c>
      <c r="N396" t="inlineStr">
        <is>
          <t>NO APLICA</t>
        </is>
      </c>
      <c r="O396" t="n">
        <v>5</v>
      </c>
      <c r="P396">
        <f>IF(M396&lt;0, "ERROR: SOBREGIRO", IF(M396=0, "SIN EXISTENCIAS", IF(M396&lt;=O396, "STOCK BAJO", "STOCK NORMAL")))</f>
        <v/>
      </c>
    </row>
    <row r="397">
      <c r="A397" t="n">
        <v>7963</v>
      </c>
      <c r="B397" t="inlineStr">
        <is>
          <t>UNION EMT 1"</t>
        </is>
      </c>
      <c r="C397" t="inlineStr">
        <is>
          <t>Materiales</t>
        </is>
      </c>
      <c r="D397" t="inlineStr">
        <is>
          <t>Unidad</t>
        </is>
      </c>
      <c r="E397" t="inlineStr">
        <is>
          <t>CDS</t>
        </is>
      </c>
      <c r="F397" t="n">
        <v>0</v>
      </c>
      <c r="G397" t="n">
        <v>0</v>
      </c>
      <c r="H397" t="n">
        <v>0</v>
      </c>
      <c r="I397" t="n">
        <v>0</v>
      </c>
      <c r="J397" t="n">
        <v>0</v>
      </c>
      <c r="K397" t="n">
        <v>0</v>
      </c>
      <c r="L397" t="n">
        <v>0</v>
      </c>
      <c r="M397">
        <f>F397+G397+H397+K397-I397-J397-L397</f>
        <v/>
      </c>
      <c r="N397" t="inlineStr">
        <is>
          <t>NO APLICA</t>
        </is>
      </c>
      <c r="O397" t="n">
        <v>5</v>
      </c>
      <c r="P397">
        <f>IF(M397&lt;0, "ERROR: SOBREGIRO", IF(M397=0, "SIN EXISTENCIAS", IF(M397&lt;=O397, "STOCK BAJO", "STOCK NORMAL")))</f>
        <v/>
      </c>
    </row>
    <row r="398">
      <c r="A398" t="n">
        <v>7964</v>
      </c>
      <c r="B398" t="inlineStr">
        <is>
          <t>UNION EMT 1/2"</t>
        </is>
      </c>
      <c r="C398" t="inlineStr">
        <is>
          <t>Materiales</t>
        </is>
      </c>
      <c r="D398" t="inlineStr">
        <is>
          <t>Unidad</t>
        </is>
      </c>
      <c r="E398" t="inlineStr">
        <is>
          <t>CDS</t>
        </is>
      </c>
      <c r="F398" t="n">
        <v>0</v>
      </c>
      <c r="G398" t="n">
        <v>0</v>
      </c>
      <c r="H398" t="n">
        <v>0</v>
      </c>
      <c r="I398" t="n">
        <v>0</v>
      </c>
      <c r="J398" t="n">
        <v>0</v>
      </c>
      <c r="K398" t="n">
        <v>0</v>
      </c>
      <c r="L398" t="n">
        <v>0</v>
      </c>
      <c r="M398">
        <f>F398+G398+H398+K398-I398-J398-L398</f>
        <v/>
      </c>
      <c r="N398" t="inlineStr">
        <is>
          <t>NO APLICA</t>
        </is>
      </c>
      <c r="O398" t="n">
        <v>5</v>
      </c>
      <c r="P398">
        <f>IF(M398&lt;0, "ERROR: SOBREGIRO", IF(M398=0, "SIN EXISTENCIAS", IF(M398&lt;=O398, "STOCK BAJO", "STOCK NORMAL")))</f>
        <v/>
      </c>
    </row>
    <row r="399">
      <c r="A399" t="n">
        <v>7965</v>
      </c>
      <c r="B399" t="inlineStr">
        <is>
          <t>UNION EMT 2"</t>
        </is>
      </c>
      <c r="C399" t="inlineStr">
        <is>
          <t>Materiales</t>
        </is>
      </c>
      <c r="D399" t="inlineStr">
        <is>
          <t>Unidad</t>
        </is>
      </c>
      <c r="E399" t="inlineStr">
        <is>
          <t>CDS</t>
        </is>
      </c>
      <c r="F399" t="n">
        <v>0</v>
      </c>
      <c r="G399" t="n">
        <v>0</v>
      </c>
      <c r="H399" t="n">
        <v>0</v>
      </c>
      <c r="I399" t="n">
        <v>0</v>
      </c>
      <c r="J399" t="n">
        <v>0</v>
      </c>
      <c r="K399" t="n">
        <v>0</v>
      </c>
      <c r="L399" t="n">
        <v>0</v>
      </c>
      <c r="M399">
        <f>F399+G399+H399+K399-I399-J399-L399</f>
        <v/>
      </c>
      <c r="N399" t="inlineStr">
        <is>
          <t>NO APLICA</t>
        </is>
      </c>
      <c r="O399" t="n">
        <v>5</v>
      </c>
      <c r="P399">
        <f>IF(M399&lt;0, "ERROR: SOBREGIRO", IF(M399=0, "SIN EXISTENCIAS", IF(M399&lt;=O399, "STOCK BAJO", "STOCK NORMAL")))</f>
        <v/>
      </c>
    </row>
    <row r="400">
      <c r="A400" t="n">
        <v>7966</v>
      </c>
      <c r="B400" t="inlineStr">
        <is>
          <t>UNION EMT 3/4"</t>
        </is>
      </c>
      <c r="C400" t="inlineStr">
        <is>
          <t>Materiales</t>
        </is>
      </c>
      <c r="D400" t="inlineStr">
        <is>
          <t>Unidad</t>
        </is>
      </c>
      <c r="E400" t="inlineStr">
        <is>
          <t>CDS</t>
        </is>
      </c>
      <c r="F400" t="n">
        <v>0</v>
      </c>
      <c r="G400" t="n">
        <v>0</v>
      </c>
      <c r="H400" t="n">
        <v>0</v>
      </c>
      <c r="I400" t="n">
        <v>0</v>
      </c>
      <c r="J400" t="n">
        <v>0</v>
      </c>
      <c r="K400" t="n">
        <v>0</v>
      </c>
      <c r="L400" t="n">
        <v>0</v>
      </c>
      <c r="M400">
        <f>F400+G400+H400+K400-I400-J400-L400</f>
        <v/>
      </c>
      <c r="N400" t="inlineStr">
        <is>
          <t>NO APLICA</t>
        </is>
      </c>
      <c r="O400" t="n">
        <v>5</v>
      </c>
      <c r="P400">
        <f>IF(M400&lt;0, "ERROR: SOBREGIRO", IF(M400=0, "SIN EXISTENCIAS", IF(M400&lt;=O400, "STOCK BAJO", "STOCK NORMAL")))</f>
        <v/>
      </c>
    </row>
    <row r="401">
      <c r="A401" t="n">
        <v>7967</v>
      </c>
      <c r="B401" t="inlineStr">
        <is>
          <t>UNION IMC 1 1/2"</t>
        </is>
      </c>
      <c r="C401" t="inlineStr">
        <is>
          <t>Materiales</t>
        </is>
      </c>
      <c r="D401" t="inlineStr">
        <is>
          <t>Unidad</t>
        </is>
      </c>
      <c r="E401" t="inlineStr">
        <is>
          <t>CDS</t>
        </is>
      </c>
      <c r="F401" t="n">
        <v>0</v>
      </c>
      <c r="G401" t="n">
        <v>0</v>
      </c>
      <c r="H401" t="n">
        <v>0</v>
      </c>
      <c r="I401" t="n">
        <v>0</v>
      </c>
      <c r="J401" t="n">
        <v>0</v>
      </c>
      <c r="K401" t="n">
        <v>0</v>
      </c>
      <c r="L401" t="n">
        <v>0</v>
      </c>
      <c r="M401">
        <f>F401+G401+H401+K401-I401-J401-L401</f>
        <v/>
      </c>
      <c r="N401" t="inlineStr">
        <is>
          <t>NO APLICA</t>
        </is>
      </c>
      <c r="O401" t="n">
        <v>5</v>
      </c>
      <c r="P401">
        <f>IF(M401&lt;0, "ERROR: SOBREGIRO", IF(M401=0, "SIN EXISTENCIAS", IF(M401&lt;=O401, "STOCK BAJO", "STOCK NORMAL")))</f>
        <v/>
      </c>
    </row>
    <row r="402">
      <c r="A402" t="n">
        <v>7969</v>
      </c>
      <c r="B402" t="inlineStr">
        <is>
          <t>UNION IMC 1"</t>
        </is>
      </c>
      <c r="C402" t="inlineStr">
        <is>
          <t>Materiales</t>
        </is>
      </c>
      <c r="D402" t="inlineStr">
        <is>
          <t>Unidad</t>
        </is>
      </c>
      <c r="E402" t="inlineStr">
        <is>
          <t>CDS</t>
        </is>
      </c>
      <c r="F402" t="n">
        <v>0</v>
      </c>
      <c r="G402" t="n">
        <v>0</v>
      </c>
      <c r="H402" t="n">
        <v>0</v>
      </c>
      <c r="I402" t="n">
        <v>0</v>
      </c>
      <c r="J402" t="n">
        <v>0</v>
      </c>
      <c r="K402" t="n">
        <v>0</v>
      </c>
      <c r="L402" t="n">
        <v>0</v>
      </c>
      <c r="M402">
        <f>F402+G402+H402+K402-I402-J402-L402</f>
        <v/>
      </c>
      <c r="N402" t="inlineStr">
        <is>
          <t>NO APLICA</t>
        </is>
      </c>
      <c r="O402" t="n">
        <v>5</v>
      </c>
      <c r="P402">
        <f>IF(M402&lt;0, "ERROR: SOBREGIRO", IF(M402=0, "SIN EXISTENCIAS", IF(M402&lt;=O402, "STOCK BAJO", "STOCK NORMAL")))</f>
        <v/>
      </c>
    </row>
    <row r="403">
      <c r="A403" t="n">
        <v>7970</v>
      </c>
      <c r="B403" t="inlineStr">
        <is>
          <t>UNION IMC 1/2"</t>
        </is>
      </c>
      <c r="C403" t="inlineStr">
        <is>
          <t>Materiales</t>
        </is>
      </c>
      <c r="D403" t="inlineStr">
        <is>
          <t>Unidad</t>
        </is>
      </c>
      <c r="E403" t="inlineStr">
        <is>
          <t>CDS</t>
        </is>
      </c>
      <c r="F403" t="n">
        <v>0</v>
      </c>
      <c r="G403" t="n">
        <v>0</v>
      </c>
      <c r="H403" t="n">
        <v>0</v>
      </c>
      <c r="I403" t="n">
        <v>0</v>
      </c>
      <c r="J403" t="n">
        <v>0</v>
      </c>
      <c r="K403" t="n">
        <v>0</v>
      </c>
      <c r="L403" t="n">
        <v>0</v>
      </c>
      <c r="M403">
        <f>F403+G403+H403+K403-I403-J403-L403</f>
        <v/>
      </c>
      <c r="N403" t="inlineStr">
        <is>
          <t>NO APLICA</t>
        </is>
      </c>
      <c r="O403" t="n">
        <v>5</v>
      </c>
      <c r="P403">
        <f>IF(M403&lt;0, "ERROR: SOBREGIRO", IF(M403=0, "SIN EXISTENCIAS", IF(M403&lt;=O403, "STOCK BAJO", "STOCK NORMAL")))</f>
        <v/>
      </c>
    </row>
    <row r="404">
      <c r="A404" t="n">
        <v>7971</v>
      </c>
      <c r="B404" t="inlineStr">
        <is>
          <t>UNION IMC 2"</t>
        </is>
      </c>
      <c r="C404" t="inlineStr">
        <is>
          <t>Materiales</t>
        </is>
      </c>
      <c r="D404" t="inlineStr">
        <is>
          <t>Unidad</t>
        </is>
      </c>
      <c r="E404" t="inlineStr">
        <is>
          <t>CDS</t>
        </is>
      </c>
      <c r="F404" t="n">
        <v>0</v>
      </c>
      <c r="G404" t="n">
        <v>0</v>
      </c>
      <c r="H404" t="n">
        <v>0</v>
      </c>
      <c r="I404" t="n">
        <v>0</v>
      </c>
      <c r="J404" t="n">
        <v>0</v>
      </c>
      <c r="K404" t="n">
        <v>0</v>
      </c>
      <c r="L404" t="n">
        <v>0</v>
      </c>
      <c r="M404">
        <f>F404+G404+H404+K404-I404-J404-L404</f>
        <v/>
      </c>
      <c r="N404" t="inlineStr">
        <is>
          <t>NO APLICA</t>
        </is>
      </c>
      <c r="O404" t="n">
        <v>5</v>
      </c>
      <c r="P404">
        <f>IF(M404&lt;0, "ERROR: SOBREGIRO", IF(M404=0, "SIN EXISTENCIAS", IF(M404&lt;=O404, "STOCK BAJO", "STOCK NORMAL")))</f>
        <v/>
      </c>
    </row>
    <row r="405">
      <c r="A405" t="n">
        <v>7972</v>
      </c>
      <c r="B405" t="inlineStr">
        <is>
          <t>UNION IMC 3/4"</t>
        </is>
      </c>
      <c r="C405" t="inlineStr">
        <is>
          <t>Materiales</t>
        </is>
      </c>
      <c r="D405" t="inlineStr">
        <is>
          <t>Unidad</t>
        </is>
      </c>
      <c r="E405" t="inlineStr">
        <is>
          <t>CDS</t>
        </is>
      </c>
      <c r="F405" t="n">
        <v>0</v>
      </c>
      <c r="G405" t="n">
        <v>0</v>
      </c>
      <c r="H405" t="n">
        <v>0</v>
      </c>
      <c r="I405" t="n">
        <v>0</v>
      </c>
      <c r="J405" t="n">
        <v>0</v>
      </c>
      <c r="K405" t="n">
        <v>0</v>
      </c>
      <c r="L405" t="n">
        <v>0</v>
      </c>
      <c r="M405">
        <f>F405+G405+H405+K405-I405-J405-L405</f>
        <v/>
      </c>
      <c r="N405" t="inlineStr">
        <is>
          <t>NO APLICA</t>
        </is>
      </c>
      <c r="O405" t="n">
        <v>5</v>
      </c>
      <c r="P405">
        <f>IF(M405&lt;0, "ERROR: SOBREGIRO", IF(M405=0, "SIN EXISTENCIAS", IF(M405&lt;=O405, "STOCK BAJO", "STOCK NORMAL")))</f>
        <v/>
      </c>
    </row>
    <row r="406">
      <c r="A406" t="n">
        <v>8052</v>
      </c>
      <c r="B406" t="inlineStr">
        <is>
          <t>CABLE SOLAR NEGRO 1KV 4MM</t>
        </is>
      </c>
      <c r="C406" t="inlineStr">
        <is>
          <t>Cableado</t>
        </is>
      </c>
      <c r="D406" t="inlineStr">
        <is>
          <t>Metro</t>
        </is>
      </c>
      <c r="E406" t="inlineStr">
        <is>
          <t>CDS</t>
        </is>
      </c>
      <c r="F406" t="n">
        <v>0</v>
      </c>
      <c r="G406" t="n">
        <v>0</v>
      </c>
      <c r="H406" t="n">
        <v>0</v>
      </c>
      <c r="I406" t="n">
        <v>0</v>
      </c>
      <c r="J406" t="n">
        <v>0</v>
      </c>
      <c r="K406" t="n">
        <v>0</v>
      </c>
      <c r="L406" t="n">
        <v>0</v>
      </c>
      <c r="M406">
        <f>F406+G406+H406+K406-I406-J406-L406</f>
        <v/>
      </c>
      <c r="N406" t="inlineStr">
        <is>
          <t>NO APLICA</t>
        </is>
      </c>
      <c r="O406" t="n">
        <v>5</v>
      </c>
      <c r="P406">
        <f>IF(M406&lt;0, "ERROR: SOBREGIRO", IF(M406=0, "SIN EXISTENCIAS", IF(M406&lt;=O406, "STOCK BAJO", "STOCK NORMAL")))</f>
        <v/>
      </c>
    </row>
    <row r="407">
      <c r="A407" t="n">
        <v>8054</v>
      </c>
      <c r="B407" t="inlineStr">
        <is>
          <t>CABLE SOLAR ROJO 1KV 4MM HF</t>
        </is>
      </c>
      <c r="C407" t="inlineStr">
        <is>
          <t>Cableado</t>
        </is>
      </c>
      <c r="D407" t="inlineStr">
        <is>
          <t>Metro</t>
        </is>
      </c>
      <c r="E407" t="inlineStr">
        <is>
          <t>CDS</t>
        </is>
      </c>
      <c r="F407" t="n">
        <v>0</v>
      </c>
      <c r="G407" t="n">
        <v>0</v>
      </c>
      <c r="H407" t="n">
        <v>0</v>
      </c>
      <c r="I407" t="n">
        <v>0</v>
      </c>
      <c r="J407" t="n">
        <v>0</v>
      </c>
      <c r="K407" t="n">
        <v>0</v>
      </c>
      <c r="L407" t="n">
        <v>0</v>
      </c>
      <c r="M407">
        <f>F407+G407+H407+K407-I407-J407-L407</f>
        <v/>
      </c>
      <c r="N407" t="inlineStr">
        <is>
          <t>NO APLICA</t>
        </is>
      </c>
      <c r="O407" t="n">
        <v>5</v>
      </c>
      <c r="P407">
        <f>IF(M407&lt;0, "ERROR: SOBREGIRO", IF(M407=0, "SIN EXISTENCIAS", IF(M407&lt;=O407, "STOCK BAJO", "STOCK NORMAL")))</f>
        <v/>
      </c>
    </row>
    <row r="408">
      <c r="A408" t="n">
        <v>8373</v>
      </c>
      <c r="B408" t="inlineStr">
        <is>
          <t>ABRAZADERA AJUSTABLE (UNISTRUT) INTERIOR 3"</t>
        </is>
      </c>
      <c r="C408" t="inlineStr">
        <is>
          <t>Tornilleria</t>
        </is>
      </c>
      <c r="D408" t="inlineStr">
        <is>
          <t>Unidad</t>
        </is>
      </c>
      <c r="E408" t="inlineStr">
        <is>
          <t>CDS</t>
        </is>
      </c>
      <c r="F408" t="n">
        <v>8</v>
      </c>
      <c r="G408" t="n">
        <v>0</v>
      </c>
      <c r="H408" t="n">
        <v>0</v>
      </c>
      <c r="I408" t="n">
        <v>0</v>
      </c>
      <c r="J408" t="n">
        <v>0</v>
      </c>
      <c r="K408" t="n">
        <v>0</v>
      </c>
      <c r="L408" t="n">
        <v>0</v>
      </c>
      <c r="M408">
        <f>F408+G408+H408+K408-I408-J408-L408</f>
        <v/>
      </c>
      <c r="N408" t="inlineStr">
        <is>
          <t>NO APLICA</t>
        </is>
      </c>
      <c r="O408" t="n">
        <v>5</v>
      </c>
      <c r="P408">
        <f>IF(M408&lt;0, "ERROR: SOBREGIRO", IF(M408=0, "SIN EXISTENCIAS", IF(M408&lt;=O408, "STOCK BAJO", "STOCK NORMAL")))</f>
        <v/>
      </c>
    </row>
    <row r="409">
      <c r="A409" t="n">
        <v>8379</v>
      </c>
      <c r="B409" t="inlineStr">
        <is>
          <t>ADAPTADOR TERMINAL CAMPANA DUCTO CONDUIT PVC 1"</t>
        </is>
      </c>
      <c r="C409" t="inlineStr">
        <is>
          <t>Elementos electricos</t>
        </is>
      </c>
      <c r="D409" t="inlineStr">
        <is>
          <t>Unidad</t>
        </is>
      </c>
      <c r="E409" t="inlineStr">
        <is>
          <t>CDS</t>
        </is>
      </c>
      <c r="F409" t="n">
        <v>0</v>
      </c>
      <c r="G409" t="n">
        <v>0</v>
      </c>
      <c r="H409" t="n">
        <v>0</v>
      </c>
      <c r="I409" t="n">
        <v>0</v>
      </c>
      <c r="J409" t="n">
        <v>0</v>
      </c>
      <c r="K409" t="n">
        <v>0</v>
      </c>
      <c r="L409" t="n">
        <v>0</v>
      </c>
      <c r="M409">
        <f>F409+G409+H409+K409-I409-J409-L409</f>
        <v/>
      </c>
      <c r="N409" t="inlineStr">
        <is>
          <t>NO APLICA</t>
        </is>
      </c>
      <c r="O409" t="n">
        <v>5</v>
      </c>
      <c r="P409">
        <f>IF(M409&lt;0, "ERROR: SOBREGIRO", IF(M409=0, "SIN EXISTENCIAS", IF(M409&lt;=O409, "STOCK BAJO", "STOCK NORMAL")))</f>
        <v/>
      </c>
    </row>
    <row r="410">
      <c r="A410" t="n">
        <v>8382</v>
      </c>
      <c r="B410" t="inlineStr">
        <is>
          <t>CAJA DE PASO PLASTICA 316X316X162MM KOWET K3131-162</t>
        </is>
      </c>
      <c r="C410" t="inlineStr">
        <is>
          <t>Materiales</t>
        </is>
      </c>
      <c r="D410" t="inlineStr">
        <is>
          <t>Caja</t>
        </is>
      </c>
      <c r="E410" t="inlineStr">
        <is>
          <t>CDS</t>
        </is>
      </c>
      <c r="F410" t="n">
        <v>0</v>
      </c>
      <c r="G410" t="n">
        <v>0</v>
      </c>
      <c r="H410" t="n">
        <v>0</v>
      </c>
      <c r="I410" t="n">
        <v>0</v>
      </c>
      <c r="J410" t="n">
        <v>0</v>
      </c>
      <c r="K410" t="n">
        <v>0</v>
      </c>
      <c r="L410" t="n">
        <v>0</v>
      </c>
      <c r="M410">
        <f>F410+G410+H410+K410-I410-J410-L410</f>
        <v/>
      </c>
      <c r="N410" t="inlineStr">
        <is>
          <t>NO APLICA</t>
        </is>
      </c>
      <c r="O410" t="n">
        <v>5</v>
      </c>
      <c r="P410">
        <f>IF(M410&lt;0, "ERROR: SOBREGIRO", IF(M410=0, "SIN EXISTENCIAS", IF(M410&lt;=O410, "STOCK BAJO", "STOCK NORMAL")))</f>
        <v/>
      </c>
    </row>
    <row r="411">
      <c r="A411" t="n">
        <v>8386</v>
      </c>
      <c r="B411" t="inlineStr">
        <is>
          <t>CAJA DERIVACION 23X29X11 KOWET</t>
        </is>
      </c>
      <c r="C411" t="inlineStr">
        <is>
          <t>Materiales</t>
        </is>
      </c>
      <c r="D411" t="inlineStr">
        <is>
          <t>Caja</t>
        </is>
      </c>
      <c r="E411" t="inlineStr">
        <is>
          <t>CDS</t>
        </is>
      </c>
      <c r="F411" t="n">
        <v>0</v>
      </c>
      <c r="G411" t="n">
        <v>0</v>
      </c>
      <c r="H411" t="n">
        <v>0</v>
      </c>
      <c r="I411" t="n">
        <v>0</v>
      </c>
      <c r="J411" t="n">
        <v>0</v>
      </c>
      <c r="K411" t="n">
        <v>0</v>
      </c>
      <c r="L411" t="n">
        <v>0</v>
      </c>
      <c r="M411">
        <f>F411+G411+H411+K411-I411-J411-L411</f>
        <v/>
      </c>
      <c r="N411" t="inlineStr">
        <is>
          <t>NO APLICA</t>
        </is>
      </c>
      <c r="O411" t="n">
        <v>5</v>
      </c>
      <c r="P411">
        <f>IF(M411&lt;0, "ERROR: SOBREGIRO", IF(M411=0, "SIN EXISTENCIAS", IF(M411&lt;=O411, "STOCK BAJO", "STOCK NORMAL")))</f>
        <v/>
      </c>
    </row>
    <row r="412">
      <c r="A412" t="n">
        <v>8390</v>
      </c>
      <c r="B412" t="inlineStr">
        <is>
          <t>CAJA INSPECCION TIERRA POLICARBONATO 20X20</t>
        </is>
      </c>
      <c r="C412" t="inlineStr">
        <is>
          <t>Materiales</t>
        </is>
      </c>
      <c r="D412" t="inlineStr">
        <is>
          <t>Caja</t>
        </is>
      </c>
      <c r="E412" t="inlineStr">
        <is>
          <t>CDS</t>
        </is>
      </c>
      <c r="F412" t="n">
        <v>0</v>
      </c>
      <c r="G412" t="n">
        <v>0</v>
      </c>
      <c r="H412" t="n">
        <v>0</v>
      </c>
      <c r="I412" t="n">
        <v>0</v>
      </c>
      <c r="J412" t="n">
        <v>0</v>
      </c>
      <c r="K412" t="n">
        <v>0</v>
      </c>
      <c r="L412" t="n">
        <v>0</v>
      </c>
      <c r="M412">
        <f>F412+G412+H412+K412-I412-J412-L412</f>
        <v/>
      </c>
      <c r="N412" t="inlineStr">
        <is>
          <t>NO APLICA</t>
        </is>
      </c>
      <c r="O412" t="n">
        <v>5</v>
      </c>
      <c r="P412">
        <f>IF(M412&lt;0, "ERROR: SOBREGIRO", IF(M412=0, "SIN EXISTENCIAS", IF(M412&lt;=O412, "STOCK BAJO", "STOCK NORMAL")))</f>
        <v/>
      </c>
    </row>
    <row r="413">
      <c r="A413" t="n">
        <v>8400</v>
      </c>
      <c r="B413" t="inlineStr">
        <is>
          <t>CINTA ROTULADOR PLASTICA</t>
        </is>
      </c>
      <c r="C413" t="inlineStr">
        <is>
          <t>Consumibles</t>
        </is>
      </c>
      <c r="D413" t="inlineStr">
        <is>
          <t>Rollo</t>
        </is>
      </c>
      <c r="E413" t="inlineStr">
        <is>
          <t>CDS</t>
        </is>
      </c>
      <c r="F413" t="n">
        <v>0</v>
      </c>
      <c r="G413" t="n">
        <v>0</v>
      </c>
      <c r="H413" t="n">
        <v>0</v>
      </c>
      <c r="I413" t="n">
        <v>0</v>
      </c>
      <c r="J413" t="n">
        <v>0</v>
      </c>
      <c r="K413" t="n">
        <v>0</v>
      </c>
      <c r="L413" t="n">
        <v>0</v>
      </c>
      <c r="M413">
        <f>F413+G413+H413+K413-I413-J413-L413</f>
        <v/>
      </c>
      <c r="N413" t="inlineStr">
        <is>
          <t>NO APLICA</t>
        </is>
      </c>
      <c r="O413" t="n">
        <v>5</v>
      </c>
      <c r="P413">
        <f>IF(M413&lt;0, "ERROR: SOBREGIRO", IF(M413=0, "SIN EXISTENCIAS", IF(M413&lt;=O413, "STOCK BAJO", "STOCK NORMAL")))</f>
        <v/>
      </c>
    </row>
    <row r="414">
      <c r="A414" t="n">
        <v>8404</v>
      </c>
      <c r="B414" t="inlineStr">
        <is>
          <t>CONECTOR COMPRESION C 8 AWG</t>
        </is>
      </c>
      <c r="C414" t="inlineStr">
        <is>
          <t>Materiales</t>
        </is>
      </c>
      <c r="D414" t="inlineStr">
        <is>
          <t>Unidad</t>
        </is>
      </c>
      <c r="E414" t="inlineStr">
        <is>
          <t>CDS</t>
        </is>
      </c>
      <c r="F414" t="n">
        <v>0</v>
      </c>
      <c r="G414" t="n">
        <v>0</v>
      </c>
      <c r="H414" t="n">
        <v>0</v>
      </c>
      <c r="I414" t="n">
        <v>0</v>
      </c>
      <c r="J414" t="n">
        <v>0</v>
      </c>
      <c r="K414" t="n">
        <v>0</v>
      </c>
      <c r="L414" t="n">
        <v>0</v>
      </c>
      <c r="M414">
        <f>F414+G414+H414+K414-I414-J414-L414</f>
        <v/>
      </c>
      <c r="N414" t="inlineStr">
        <is>
          <t>NO APLICA</t>
        </is>
      </c>
      <c r="O414" t="n">
        <v>5</v>
      </c>
      <c r="P414">
        <f>IF(M414&lt;0, "ERROR: SOBREGIRO", IF(M414=0, "SIN EXISTENCIAS", IF(M414&lt;=O414, "STOCK BAJO", "STOCK NORMAL")))</f>
        <v/>
      </c>
    </row>
    <row r="415">
      <c r="A415" t="n">
        <v>8406</v>
      </c>
      <c r="B415" t="inlineStr">
        <is>
          <t>CONECTOR CORAZA CURVO 3"</t>
        </is>
      </c>
      <c r="C415" t="inlineStr">
        <is>
          <t>Materiales</t>
        </is>
      </c>
      <c r="D415" t="inlineStr">
        <is>
          <t>Unidad</t>
        </is>
      </c>
      <c r="E415" t="inlineStr">
        <is>
          <t>CDS</t>
        </is>
      </c>
      <c r="F415" t="n">
        <v>0</v>
      </c>
      <c r="G415" t="n">
        <v>0</v>
      </c>
      <c r="H415" t="n">
        <v>0</v>
      </c>
      <c r="I415" t="n">
        <v>0</v>
      </c>
      <c r="J415" t="n">
        <v>0</v>
      </c>
      <c r="K415" t="n">
        <v>0</v>
      </c>
      <c r="L415" t="n">
        <v>0</v>
      </c>
      <c r="M415">
        <f>F415+G415+H415+K415-I415-J415-L415</f>
        <v/>
      </c>
      <c r="N415" t="inlineStr">
        <is>
          <t>NO APLICA</t>
        </is>
      </c>
      <c r="O415" t="n">
        <v>5</v>
      </c>
      <c r="P415">
        <f>IF(M415&lt;0, "ERROR: SOBREGIRO", IF(M415=0, "SIN EXISTENCIAS", IF(M415&lt;=O415, "STOCK BAJO", "STOCK NORMAL")))</f>
        <v/>
      </c>
    </row>
    <row r="416">
      <c r="A416" t="n">
        <v>8407</v>
      </c>
      <c r="B416" t="inlineStr">
        <is>
          <t>CONECTOR CORAZA RECTO 3"</t>
        </is>
      </c>
      <c r="C416" t="inlineStr">
        <is>
          <t>Materiales</t>
        </is>
      </c>
      <c r="D416" t="inlineStr">
        <is>
          <t>Unidad</t>
        </is>
      </c>
      <c r="E416" t="inlineStr">
        <is>
          <t>CDS</t>
        </is>
      </c>
      <c r="F416" t="n">
        <v>0</v>
      </c>
      <c r="G416" t="n">
        <v>0</v>
      </c>
      <c r="H416" t="n">
        <v>0</v>
      </c>
      <c r="I416" t="n">
        <v>0</v>
      </c>
      <c r="J416" t="n">
        <v>0</v>
      </c>
      <c r="K416" t="n">
        <v>0</v>
      </c>
      <c r="L416" t="n">
        <v>0</v>
      </c>
      <c r="M416">
        <f>F416+G416+H416+K416-I416-J416-L416</f>
        <v/>
      </c>
      <c r="N416" t="inlineStr">
        <is>
          <t>NO APLICA</t>
        </is>
      </c>
      <c r="O416" t="n">
        <v>5</v>
      </c>
      <c r="P416">
        <f>IF(M416&lt;0, "ERROR: SOBREGIRO", IF(M416=0, "SIN EXISTENCIAS", IF(M416&lt;=O416, "STOCK BAJO", "STOCK NORMAL")))</f>
        <v/>
      </c>
    </row>
    <row r="417">
      <c r="A417" t="n">
        <v>8411</v>
      </c>
      <c r="B417" t="inlineStr">
        <is>
          <t>FIJADOR DE ROSCA 50ML LOCTITE</t>
        </is>
      </c>
      <c r="C417" t="inlineStr">
        <is>
          <t>Materiales</t>
        </is>
      </c>
      <c r="D417" t="inlineStr">
        <is>
          <t>Unidad</t>
        </is>
      </c>
      <c r="E417" t="inlineStr">
        <is>
          <t>CDS</t>
        </is>
      </c>
      <c r="F417" t="n">
        <v>0</v>
      </c>
      <c r="G417" t="n">
        <v>0</v>
      </c>
      <c r="H417" t="n">
        <v>0</v>
      </c>
      <c r="I417" t="n">
        <v>0</v>
      </c>
      <c r="J417" t="n">
        <v>0</v>
      </c>
      <c r="K417" t="n">
        <v>0</v>
      </c>
      <c r="L417" t="n">
        <v>0</v>
      </c>
      <c r="M417">
        <f>F417+G417+H417+K417-I417-J417-L417</f>
        <v/>
      </c>
      <c r="N417" t="inlineStr">
        <is>
          <t>NO APLICA</t>
        </is>
      </c>
      <c r="O417" t="n">
        <v>5</v>
      </c>
      <c r="P417">
        <f>IF(M417&lt;0, "ERROR: SOBREGIRO", IF(M417=0, "SIN EXISTENCIAS", IF(M417&lt;=O417, "STOCK BAJO", "STOCK NORMAL")))</f>
        <v/>
      </c>
    </row>
    <row r="418">
      <c r="A418" t="n">
        <v>8417</v>
      </c>
      <c r="B418" t="inlineStr">
        <is>
          <t>PRENSA ESTOPA DEXON 1"</t>
        </is>
      </c>
      <c r="C418" t="inlineStr">
        <is>
          <t>Materiales</t>
        </is>
      </c>
      <c r="D418" t="inlineStr">
        <is>
          <t>Unidad</t>
        </is>
      </c>
      <c r="E418" t="inlineStr">
        <is>
          <t>CDS</t>
        </is>
      </c>
      <c r="F418" t="n">
        <v>0</v>
      </c>
      <c r="G418" t="n">
        <v>0</v>
      </c>
      <c r="H418" t="n">
        <v>0</v>
      </c>
      <c r="I418" t="n">
        <v>0</v>
      </c>
      <c r="J418" t="n">
        <v>0</v>
      </c>
      <c r="K418" t="n">
        <v>0</v>
      </c>
      <c r="L418" t="n">
        <v>0</v>
      </c>
      <c r="M418">
        <f>F418+G418+H418+K418-I418-J418-L418</f>
        <v/>
      </c>
      <c r="N418" t="inlineStr">
        <is>
          <t>NO APLICA</t>
        </is>
      </c>
      <c r="O418" t="n">
        <v>5</v>
      </c>
      <c r="P418">
        <f>IF(M418&lt;0, "ERROR: SOBREGIRO", IF(M418=0, "SIN EXISTENCIAS", IF(M418&lt;=O418, "STOCK BAJO", "STOCK NORMAL")))</f>
        <v/>
      </c>
    </row>
    <row r="419">
      <c r="A419" t="n">
        <v>8420</v>
      </c>
      <c r="B419" t="inlineStr">
        <is>
          <t>SOLDADURA EXOTERMICA 115GR</t>
        </is>
      </c>
      <c r="C419" t="inlineStr">
        <is>
          <t>Consumibles</t>
        </is>
      </c>
      <c r="D419" t="inlineStr">
        <is>
          <t>Unidad</t>
        </is>
      </c>
      <c r="E419" t="inlineStr">
        <is>
          <t>CDS</t>
        </is>
      </c>
      <c r="F419" t="n">
        <v>0</v>
      </c>
      <c r="G419" t="n">
        <v>0</v>
      </c>
      <c r="H419" t="n">
        <v>0</v>
      </c>
      <c r="I419" t="n">
        <v>0</v>
      </c>
      <c r="J419" t="n">
        <v>0</v>
      </c>
      <c r="K419" t="n">
        <v>0</v>
      </c>
      <c r="L419" t="n">
        <v>0</v>
      </c>
      <c r="M419">
        <f>F419+G419+H419+K419-I419-J419-L419</f>
        <v/>
      </c>
      <c r="N419" t="inlineStr">
        <is>
          <t>NO APLICA</t>
        </is>
      </c>
      <c r="O419" t="n">
        <v>5</v>
      </c>
      <c r="P419">
        <f>IF(M419&lt;0, "ERROR: SOBREGIRO", IF(M419=0, "SIN EXISTENCIAS", IF(M419&lt;=O419, "STOCK BAJO", "STOCK NORMAL")))</f>
        <v/>
      </c>
    </row>
    <row r="420">
      <c r="A420" t="n">
        <v>8442</v>
      </c>
      <c r="B420" t="inlineStr">
        <is>
          <t>CABLE ALUMINIO AISLADO 1/0 AWG</t>
        </is>
      </c>
      <c r="C420" t="inlineStr">
        <is>
          <t>Cableado</t>
        </is>
      </c>
      <c r="D420" t="inlineStr">
        <is>
          <t>Metro</t>
        </is>
      </c>
      <c r="E420" t="inlineStr">
        <is>
          <t>CDS</t>
        </is>
      </c>
      <c r="F420" t="n">
        <v>0</v>
      </c>
      <c r="G420" t="n">
        <v>0</v>
      </c>
      <c r="H420" t="n">
        <v>0</v>
      </c>
      <c r="I420" t="n">
        <v>0</v>
      </c>
      <c r="J420" t="n">
        <v>0</v>
      </c>
      <c r="K420" t="n">
        <v>0</v>
      </c>
      <c r="L420" t="n">
        <v>0</v>
      </c>
      <c r="M420">
        <f>F420+G420+H420+K420-I420-J420-L420</f>
        <v/>
      </c>
      <c r="N420" t="inlineStr">
        <is>
          <t>NO APLICA</t>
        </is>
      </c>
      <c r="O420" t="n">
        <v>5</v>
      </c>
      <c r="P420">
        <f>IF(M420&lt;0, "ERROR: SOBREGIRO", IF(M420=0, "SIN EXISTENCIAS", IF(M420&lt;=O420, "STOCK BAJO", "STOCK NORMAL")))</f>
        <v/>
      </c>
    </row>
    <row r="421">
      <c r="A421" t="n">
        <v>8443</v>
      </c>
      <c r="B421" t="inlineStr">
        <is>
          <t>CABLE ALUMINIO AISLADO 2/0 AWG</t>
        </is>
      </c>
      <c r="C421" t="inlineStr">
        <is>
          <t>Cableado</t>
        </is>
      </c>
      <c r="D421" t="inlineStr">
        <is>
          <t>Metro</t>
        </is>
      </c>
      <c r="E421" t="inlineStr">
        <is>
          <t>CDS</t>
        </is>
      </c>
      <c r="F421" t="n">
        <v>0</v>
      </c>
      <c r="G421" t="n">
        <v>0</v>
      </c>
      <c r="H421" t="n">
        <v>0</v>
      </c>
      <c r="I421" t="n">
        <v>0</v>
      </c>
      <c r="J421" t="n">
        <v>0</v>
      </c>
      <c r="K421" t="n">
        <v>0</v>
      </c>
      <c r="L421" t="n">
        <v>0</v>
      </c>
      <c r="M421">
        <f>F421+G421+H421+K421-I421-J421-L421</f>
        <v/>
      </c>
      <c r="N421" t="inlineStr">
        <is>
          <t>NO APLICA</t>
        </is>
      </c>
      <c r="O421" t="n">
        <v>5</v>
      </c>
      <c r="P421">
        <f>IF(M421&lt;0, "ERROR: SOBREGIRO", IF(M421=0, "SIN EXISTENCIAS", IF(M421&lt;=O421, "STOCK BAJO", "STOCK NORMAL")))</f>
        <v/>
      </c>
    </row>
    <row r="422">
      <c r="A422" t="n">
        <v>8445</v>
      </c>
      <c r="B422" t="inlineStr">
        <is>
          <t>CABLE ALUMINIO AISLADO 4 AWG</t>
        </is>
      </c>
      <c r="C422" t="inlineStr">
        <is>
          <t>Cableado</t>
        </is>
      </c>
      <c r="D422" t="inlineStr">
        <is>
          <t>Metro</t>
        </is>
      </c>
      <c r="E422" t="inlineStr">
        <is>
          <t>CDS</t>
        </is>
      </c>
      <c r="F422" t="n">
        <v>0</v>
      </c>
      <c r="G422" t="n">
        <v>0</v>
      </c>
      <c r="H422" t="n">
        <v>0</v>
      </c>
      <c r="I422" t="n">
        <v>0</v>
      </c>
      <c r="J422" t="n">
        <v>0</v>
      </c>
      <c r="K422" t="n">
        <v>0</v>
      </c>
      <c r="L422" t="n">
        <v>0</v>
      </c>
      <c r="M422">
        <f>F422+G422+H422+K422-I422-J422-L422</f>
        <v/>
      </c>
      <c r="N422" t="inlineStr">
        <is>
          <t>NO APLICA</t>
        </is>
      </c>
      <c r="O422" t="n">
        <v>5</v>
      </c>
      <c r="P422">
        <f>IF(M422&lt;0, "ERROR: SOBREGIRO", IF(M422=0, "SIN EXISTENCIAS", IF(M422&lt;=O422, "STOCK BAJO", "STOCK NORMAL")))</f>
        <v/>
      </c>
    </row>
    <row r="423">
      <c r="A423" t="n">
        <v>8446</v>
      </c>
      <c r="B423" t="inlineStr">
        <is>
          <t>CABLE ALUMINIO AISLADO 4/0 AWG</t>
        </is>
      </c>
      <c r="C423" t="inlineStr">
        <is>
          <t>Cableado</t>
        </is>
      </c>
      <c r="D423" t="inlineStr">
        <is>
          <t>Metro</t>
        </is>
      </c>
      <c r="E423" t="inlineStr">
        <is>
          <t>CDS</t>
        </is>
      </c>
      <c r="F423" t="n">
        <v>0</v>
      </c>
      <c r="G423" t="n">
        <v>0</v>
      </c>
      <c r="H423" t="n">
        <v>0</v>
      </c>
      <c r="I423" t="n">
        <v>0</v>
      </c>
      <c r="J423" t="n">
        <v>0</v>
      </c>
      <c r="K423" t="n">
        <v>0</v>
      </c>
      <c r="L423" t="n">
        <v>0</v>
      </c>
      <c r="M423">
        <f>F423+G423+H423+K423-I423-J423-L423</f>
        <v/>
      </c>
      <c r="N423" t="inlineStr">
        <is>
          <t>NO APLICA</t>
        </is>
      </c>
      <c r="O423" t="n">
        <v>5</v>
      </c>
      <c r="P423">
        <f>IF(M423&lt;0, "ERROR: SOBREGIRO", IF(M423=0, "SIN EXISTENCIAS", IF(M423&lt;=O423, "STOCK BAJO", "STOCK NORMAL")))</f>
        <v/>
      </c>
    </row>
    <row r="424">
      <c r="A424" t="n">
        <v>8462</v>
      </c>
      <c r="B424" t="inlineStr">
        <is>
          <t>TERMOENCOGIBLE AMARILLO 1"</t>
        </is>
      </c>
      <c r="C424" t="inlineStr">
        <is>
          <t>Materiales</t>
        </is>
      </c>
      <c r="D424" t="inlineStr">
        <is>
          <t>Unidad</t>
        </is>
      </c>
      <c r="E424" t="inlineStr">
        <is>
          <t>CDS</t>
        </is>
      </c>
      <c r="F424" t="n">
        <v>0</v>
      </c>
      <c r="G424" t="n">
        <v>0</v>
      </c>
      <c r="H424" t="n">
        <v>0</v>
      </c>
      <c r="I424" t="n">
        <v>0</v>
      </c>
      <c r="J424" t="n">
        <v>0</v>
      </c>
      <c r="K424" t="n">
        <v>0</v>
      </c>
      <c r="L424" t="n">
        <v>0</v>
      </c>
      <c r="M424">
        <f>F424+G424+H424+K424-I424-J424-L424</f>
        <v/>
      </c>
      <c r="N424" t="inlineStr">
        <is>
          <t>NO APLICA</t>
        </is>
      </c>
      <c r="O424" t="n">
        <v>5</v>
      </c>
      <c r="P424">
        <f>IF(M424&lt;0, "ERROR: SOBREGIRO", IF(M424=0, "SIN EXISTENCIAS", IF(M424&lt;=O424, "STOCK BAJO", "STOCK NORMAL")))</f>
        <v/>
      </c>
    </row>
    <row r="425">
      <c r="A425" t="n">
        <v>8464</v>
      </c>
      <c r="B425" t="inlineStr">
        <is>
          <t>TERMOENCOGIBLE BLANCO 1"</t>
        </is>
      </c>
      <c r="C425" t="inlineStr">
        <is>
          <t>Materiales</t>
        </is>
      </c>
      <c r="D425" t="inlineStr">
        <is>
          <t>Unidad</t>
        </is>
      </c>
      <c r="E425" t="inlineStr">
        <is>
          <t>CDS</t>
        </is>
      </c>
      <c r="F425" t="n">
        <v>0</v>
      </c>
      <c r="G425" t="n">
        <v>0</v>
      </c>
      <c r="H425" t="n">
        <v>0</v>
      </c>
      <c r="I425" t="n">
        <v>0</v>
      </c>
      <c r="J425" t="n">
        <v>0</v>
      </c>
      <c r="K425" t="n">
        <v>0</v>
      </c>
      <c r="L425" t="n">
        <v>0</v>
      </c>
      <c r="M425">
        <f>F425+G425+H425+K425-I425-J425-L425</f>
        <v/>
      </c>
      <c r="N425" t="inlineStr">
        <is>
          <t>NO APLICA</t>
        </is>
      </c>
      <c r="O425" t="n">
        <v>5</v>
      </c>
      <c r="P425">
        <f>IF(M425&lt;0, "ERROR: SOBREGIRO", IF(M425=0, "SIN EXISTENCIAS", IF(M425&lt;=O425, "STOCK BAJO", "STOCK NORMAL")))</f>
        <v/>
      </c>
    </row>
    <row r="426">
      <c r="A426" t="n">
        <v>8466</v>
      </c>
      <c r="B426" t="inlineStr">
        <is>
          <t>TERMOENCOGIBLE NEGRO 1"</t>
        </is>
      </c>
      <c r="C426" t="inlineStr">
        <is>
          <t>Materiales</t>
        </is>
      </c>
      <c r="D426" t="inlineStr">
        <is>
          <t>Unidad</t>
        </is>
      </c>
      <c r="E426" t="inlineStr">
        <is>
          <t>CDS</t>
        </is>
      </c>
      <c r="F426" t="n">
        <v>0</v>
      </c>
      <c r="G426" t="n">
        <v>0</v>
      </c>
      <c r="H426" t="n">
        <v>0</v>
      </c>
      <c r="I426" t="n">
        <v>0</v>
      </c>
      <c r="J426" t="n">
        <v>0</v>
      </c>
      <c r="K426" t="n">
        <v>0</v>
      </c>
      <c r="L426" t="n">
        <v>0</v>
      </c>
      <c r="M426">
        <f>F426+G426+H426+K426-I426-J426-L426</f>
        <v/>
      </c>
      <c r="N426" t="inlineStr">
        <is>
          <t>NO APLICA</t>
        </is>
      </c>
      <c r="O426" t="n">
        <v>5</v>
      </c>
      <c r="P426">
        <f>IF(M426&lt;0, "ERROR: SOBREGIRO", IF(M426=0, "SIN EXISTENCIAS", IF(M426&lt;=O426, "STOCK BAJO", "STOCK NORMAL")))</f>
        <v/>
      </c>
    </row>
    <row r="427">
      <c r="A427" t="n">
        <v>8467</v>
      </c>
      <c r="B427" t="inlineStr">
        <is>
          <t>TERMOENCOGIBLE ROJO 1"</t>
        </is>
      </c>
      <c r="C427" t="inlineStr">
        <is>
          <t>Materiales</t>
        </is>
      </c>
      <c r="D427" t="inlineStr">
        <is>
          <t>Unidad</t>
        </is>
      </c>
      <c r="E427" t="inlineStr">
        <is>
          <t>CDS</t>
        </is>
      </c>
      <c r="F427" t="n">
        <v>0</v>
      </c>
      <c r="G427" t="n">
        <v>0</v>
      </c>
      <c r="H427" t="n">
        <v>0</v>
      </c>
      <c r="I427" t="n">
        <v>0</v>
      </c>
      <c r="J427" t="n">
        <v>0</v>
      </c>
      <c r="K427" t="n">
        <v>0</v>
      </c>
      <c r="L427" t="n">
        <v>0</v>
      </c>
      <c r="M427">
        <f>F427+G427+H427+K427-I427-J427-L427</f>
        <v/>
      </c>
      <c r="N427" t="inlineStr">
        <is>
          <t>NO APLICA</t>
        </is>
      </c>
      <c r="O427" t="n">
        <v>5</v>
      </c>
      <c r="P427">
        <f>IF(M427&lt;0, "ERROR: SOBREGIRO", IF(M427=0, "SIN EXISTENCIAS", IF(M427&lt;=O427, "STOCK BAJO", "STOCK NORMAL")))</f>
        <v/>
      </c>
    </row>
    <row r="428">
      <c r="A428" t="n">
        <v>8469</v>
      </c>
      <c r="B428" t="inlineStr">
        <is>
          <t>TERMOENCOGIBLE VERDE 1"</t>
        </is>
      </c>
      <c r="C428" t="inlineStr">
        <is>
          <t>Materiales</t>
        </is>
      </c>
      <c r="D428" t="inlineStr">
        <is>
          <t>Unidad</t>
        </is>
      </c>
      <c r="E428" t="inlineStr">
        <is>
          <t>CDS</t>
        </is>
      </c>
      <c r="F428" t="n">
        <v>0</v>
      </c>
      <c r="G428" t="n">
        <v>0</v>
      </c>
      <c r="H428" t="n">
        <v>0</v>
      </c>
      <c r="I428" t="n">
        <v>0</v>
      </c>
      <c r="J428" t="n">
        <v>0</v>
      </c>
      <c r="K428" t="n">
        <v>0</v>
      </c>
      <c r="L428" t="n">
        <v>0</v>
      </c>
      <c r="M428">
        <f>F428+G428+H428+K428-I428-J428-L428</f>
        <v/>
      </c>
      <c r="N428" t="inlineStr">
        <is>
          <t>NO APLICA</t>
        </is>
      </c>
      <c r="O428" t="n">
        <v>5</v>
      </c>
      <c r="P428">
        <f>IF(M428&lt;0, "ERROR: SOBREGIRO", IF(M428=0, "SIN EXISTENCIAS", IF(M428&lt;=O428, "STOCK BAJO", "STOCK NORMAL")))</f>
        <v/>
      </c>
    </row>
    <row r="429">
      <c r="A429" t="n">
        <v>8484</v>
      </c>
      <c r="B429" t="inlineStr">
        <is>
          <t>CHAZO EXPANSIVO METALICO 3/8" X 2 1/2"</t>
        </is>
      </c>
      <c r="C429" t="inlineStr">
        <is>
          <t>Tornilleria</t>
        </is>
      </c>
      <c r="D429" t="inlineStr">
        <is>
          <t>Unidad</t>
        </is>
      </c>
      <c r="E429" t="inlineStr">
        <is>
          <t>CDS</t>
        </is>
      </c>
      <c r="F429" t="n">
        <v>0</v>
      </c>
      <c r="G429" t="n">
        <v>0</v>
      </c>
      <c r="H429" t="n">
        <v>0</v>
      </c>
      <c r="I429" t="n">
        <v>0</v>
      </c>
      <c r="J429" t="n">
        <v>0</v>
      </c>
      <c r="K429" t="n">
        <v>0</v>
      </c>
      <c r="L429" t="n">
        <v>0</v>
      </c>
      <c r="M429">
        <f>F429+G429+H429+K429-I429-J429-L429</f>
        <v/>
      </c>
      <c r="N429" t="inlineStr">
        <is>
          <t>NO APLICA</t>
        </is>
      </c>
      <c r="O429" t="n">
        <v>5</v>
      </c>
      <c r="P429">
        <f>IF(M429&lt;0, "ERROR: SOBREGIRO", IF(M429=0, "SIN EXISTENCIAS", IF(M429&lt;=O429, "STOCK BAJO", "STOCK NORMAL")))</f>
        <v/>
      </c>
    </row>
    <row r="430">
      <c r="A430" t="n">
        <v>8487</v>
      </c>
      <c r="B430" t="inlineStr">
        <is>
          <t>CHAZO RL 1/2"</t>
        </is>
      </c>
      <c r="C430" t="inlineStr">
        <is>
          <t>Tornilleria</t>
        </is>
      </c>
      <c r="D430" t="inlineStr">
        <is>
          <t>Unidad</t>
        </is>
      </c>
      <c r="E430" t="inlineStr">
        <is>
          <t>CDS</t>
        </is>
      </c>
      <c r="F430" t="n">
        <v>0</v>
      </c>
      <c r="G430" t="n">
        <v>0</v>
      </c>
      <c r="H430" t="n">
        <v>0</v>
      </c>
      <c r="I430" t="n">
        <v>0</v>
      </c>
      <c r="J430" t="n">
        <v>0</v>
      </c>
      <c r="K430" t="n">
        <v>0</v>
      </c>
      <c r="L430" t="n">
        <v>0</v>
      </c>
      <c r="M430">
        <f>F430+G430+H430+K430-I430-J430-L430</f>
        <v/>
      </c>
      <c r="N430" t="inlineStr">
        <is>
          <t>NO APLICA</t>
        </is>
      </c>
      <c r="O430" t="n">
        <v>5</v>
      </c>
      <c r="P430">
        <f>IF(M430&lt;0, "ERROR: SOBREGIRO", IF(M430=0, "SIN EXISTENCIAS", IF(M430&lt;=O430, "STOCK BAJO", "STOCK NORMAL")))</f>
        <v/>
      </c>
    </row>
    <row r="431">
      <c r="A431" t="n">
        <v>8492</v>
      </c>
      <c r="B431" t="inlineStr">
        <is>
          <t>RL 3/8"</t>
        </is>
      </c>
      <c r="C431" t="inlineStr">
        <is>
          <t>Materiales</t>
        </is>
      </c>
      <c r="D431" t="inlineStr">
        <is>
          <t>Unidad</t>
        </is>
      </c>
      <c r="E431" t="inlineStr">
        <is>
          <t>CDS</t>
        </is>
      </c>
      <c r="F431" t="n">
        <v>0</v>
      </c>
      <c r="G431" t="n">
        <v>0</v>
      </c>
      <c r="H431" t="n">
        <v>0</v>
      </c>
      <c r="I431" t="n">
        <v>0</v>
      </c>
      <c r="J431" t="n">
        <v>0</v>
      </c>
      <c r="K431" t="n">
        <v>0</v>
      </c>
      <c r="L431" t="n">
        <v>0</v>
      </c>
      <c r="M431">
        <f>F431+G431+H431+K431-I431-J431-L431</f>
        <v/>
      </c>
      <c r="N431" t="inlineStr">
        <is>
          <t>NO APLICA</t>
        </is>
      </c>
      <c r="O431" t="n">
        <v>5</v>
      </c>
      <c r="P431">
        <f>IF(M431&lt;0, "ERROR: SOBREGIRO", IF(M431=0, "SIN EXISTENCIAS", IF(M431&lt;=O431, "STOCK BAJO", "STOCK NORMAL")))</f>
        <v/>
      </c>
    </row>
    <row r="432">
      <c r="A432" t="n">
        <v>8498</v>
      </c>
      <c r="B432" t="inlineStr">
        <is>
          <t>TORNILLO AUTOPERFORANTE HEXAGONAL PUNTA BROCA 12-14 X 3"</t>
        </is>
      </c>
      <c r="C432" t="inlineStr">
        <is>
          <t>Tornilleria</t>
        </is>
      </c>
      <c r="D432" t="inlineStr">
        <is>
          <t>Unidad</t>
        </is>
      </c>
      <c r="E432" t="inlineStr">
        <is>
          <t>CDS</t>
        </is>
      </c>
      <c r="F432" t="n">
        <v>0</v>
      </c>
      <c r="G432" t="n">
        <v>0</v>
      </c>
      <c r="H432" t="n">
        <v>0</v>
      </c>
      <c r="I432" t="n">
        <v>0</v>
      </c>
      <c r="J432" t="n">
        <v>0</v>
      </c>
      <c r="K432" t="n">
        <v>0</v>
      </c>
      <c r="L432" t="n">
        <v>0</v>
      </c>
      <c r="M432">
        <f>F432+G432+H432+K432-I432-J432-L432</f>
        <v/>
      </c>
      <c r="N432" t="inlineStr">
        <is>
          <t>NO APLICA</t>
        </is>
      </c>
      <c r="O432" t="n">
        <v>5</v>
      </c>
      <c r="P432">
        <f>IF(M432&lt;0, "ERROR: SOBREGIRO", IF(M432=0, "SIN EXISTENCIAS", IF(M432&lt;=O432, "STOCK BAJO", "STOCK NORMAL")))</f>
        <v/>
      </c>
    </row>
    <row r="433">
      <c r="A433" t="n">
        <v>8500</v>
      </c>
      <c r="B433" t="inlineStr">
        <is>
          <t>TORNILLO AUTOPERFORANTE HEXAGONAL PUNTA BROCA ROSCA COMPLETA 2 1/2"</t>
        </is>
      </c>
      <c r="C433" t="inlineStr">
        <is>
          <t>Tornilleria</t>
        </is>
      </c>
      <c r="D433" t="inlineStr">
        <is>
          <t>Unidad</t>
        </is>
      </c>
      <c r="E433" t="inlineStr">
        <is>
          <t>CDS</t>
        </is>
      </c>
      <c r="F433" t="n">
        <v>0</v>
      </c>
      <c r="G433" t="n">
        <v>0</v>
      </c>
      <c r="H433" t="n">
        <v>0</v>
      </c>
      <c r="I433" t="n">
        <v>0</v>
      </c>
      <c r="J433" t="n">
        <v>0</v>
      </c>
      <c r="K433" t="n">
        <v>0</v>
      </c>
      <c r="L433" t="n">
        <v>0</v>
      </c>
      <c r="M433">
        <f>F433+G433+H433+K433-I433-J433-L433</f>
        <v/>
      </c>
      <c r="N433" t="inlineStr">
        <is>
          <t>NO APLICA</t>
        </is>
      </c>
      <c r="O433" t="n">
        <v>5</v>
      </c>
      <c r="P433">
        <f>IF(M433&lt;0, "ERROR: SOBREGIRO", IF(M433=0, "SIN EXISTENCIAS", IF(M433&lt;=O433, "STOCK BAJO", "STOCK NORMAL")))</f>
        <v/>
      </c>
    </row>
    <row r="434">
      <c r="A434" t="n">
        <v>8504</v>
      </c>
      <c r="B434" t="inlineStr">
        <is>
          <t>TORNILLO AUTOPERFORANTE PUNTA BROCA CABEZA LENTEJA 1/2</t>
        </is>
      </c>
      <c r="C434" t="inlineStr">
        <is>
          <t>Tornilleria</t>
        </is>
      </c>
      <c r="D434" t="inlineStr">
        <is>
          <t>Unidad</t>
        </is>
      </c>
      <c r="E434" t="inlineStr">
        <is>
          <t>CDS</t>
        </is>
      </c>
      <c r="F434" t="n">
        <v>0</v>
      </c>
      <c r="G434" t="n">
        <v>0</v>
      </c>
      <c r="H434" t="n">
        <v>0</v>
      </c>
      <c r="I434" t="n">
        <v>0</v>
      </c>
      <c r="J434" t="n">
        <v>0</v>
      </c>
      <c r="K434" t="n">
        <v>0</v>
      </c>
      <c r="L434" t="n">
        <v>0</v>
      </c>
      <c r="M434">
        <f>F434+G434+H434+K434-I434-J434-L434</f>
        <v/>
      </c>
      <c r="N434" t="inlineStr">
        <is>
          <t>NO APLICA</t>
        </is>
      </c>
      <c r="O434" t="n">
        <v>5</v>
      </c>
      <c r="P434">
        <f>IF(M434&lt;0, "ERROR: SOBREGIRO", IF(M434=0, "SIN EXISTENCIAS", IF(M434&lt;=O434, "STOCK BAJO", "STOCK NORMAL")))</f>
        <v/>
      </c>
    </row>
    <row r="435">
      <c r="A435" t="n">
        <v>8516</v>
      </c>
      <c r="B435" t="inlineStr">
        <is>
          <t>TORNILLO PUNTA DE AGUJA 9X1 1/4"</t>
        </is>
      </c>
      <c r="C435" t="inlineStr">
        <is>
          <t>Tornilleria</t>
        </is>
      </c>
      <c r="D435" t="inlineStr">
        <is>
          <t>Unidad</t>
        </is>
      </c>
      <c r="E435" t="inlineStr">
        <is>
          <t>CDS</t>
        </is>
      </c>
      <c r="F435" t="n">
        <v>0</v>
      </c>
      <c r="G435" t="n">
        <v>0</v>
      </c>
      <c r="H435" t="n">
        <v>0</v>
      </c>
      <c r="I435" t="n">
        <v>0</v>
      </c>
      <c r="J435" t="n">
        <v>0</v>
      </c>
      <c r="K435" t="n">
        <v>0</v>
      </c>
      <c r="L435" t="n">
        <v>0</v>
      </c>
      <c r="M435">
        <f>F435+G435+H435+K435-I435-J435-L435</f>
        <v/>
      </c>
      <c r="N435" t="inlineStr">
        <is>
          <t>NO APLICA</t>
        </is>
      </c>
      <c r="O435" t="n">
        <v>5</v>
      </c>
      <c r="P435">
        <f>IF(M435&lt;0, "ERROR: SOBREGIRO", IF(M435=0, "SIN EXISTENCIAS", IF(M435&lt;=O435, "STOCK BAJO", "STOCK NORMAL")))</f>
        <v/>
      </c>
    </row>
    <row r="436">
      <c r="A436" t="n">
        <v>8521</v>
      </c>
      <c r="B436" t="inlineStr">
        <is>
          <t>TUERCA ACERO INOXIDABLE 3/8"</t>
        </is>
      </c>
      <c r="C436" t="inlineStr">
        <is>
          <t>Tornilleria</t>
        </is>
      </c>
      <c r="D436" t="inlineStr">
        <is>
          <t>Unidad</t>
        </is>
      </c>
      <c r="E436" t="inlineStr">
        <is>
          <t>CDS</t>
        </is>
      </c>
      <c r="F436" t="n">
        <v>0</v>
      </c>
      <c r="G436" t="n">
        <v>0</v>
      </c>
      <c r="H436" t="n">
        <v>0</v>
      </c>
      <c r="I436" t="n">
        <v>0</v>
      </c>
      <c r="J436" t="n">
        <v>0</v>
      </c>
      <c r="K436" t="n">
        <v>0</v>
      </c>
      <c r="L436" t="n">
        <v>0</v>
      </c>
      <c r="M436">
        <f>F436+G436+H436+K436-I436-J436-L436</f>
        <v/>
      </c>
      <c r="N436" t="inlineStr">
        <is>
          <t>NO APLICA</t>
        </is>
      </c>
      <c r="O436" t="n">
        <v>5</v>
      </c>
      <c r="P436">
        <f>IF(M436&lt;0, "ERROR: SOBREGIRO", IF(M436=0, "SIN EXISTENCIAS", IF(M436&lt;=O436, "STOCK BAJO", "STOCK NORMAL")))</f>
        <v/>
      </c>
    </row>
    <row r="437">
      <c r="A437" t="n">
        <v>8523</v>
      </c>
      <c r="B437" t="inlineStr">
        <is>
          <t>TUERCA TROPICALIZADA 1/2”</t>
        </is>
      </c>
      <c r="C437" t="inlineStr">
        <is>
          <t>Tornilleria</t>
        </is>
      </c>
      <c r="D437" t="inlineStr">
        <is>
          <t>Unidad</t>
        </is>
      </c>
      <c r="E437" t="inlineStr">
        <is>
          <t>CDS</t>
        </is>
      </c>
      <c r="F437" t="n">
        <v>0</v>
      </c>
      <c r="G437" t="n">
        <v>0</v>
      </c>
      <c r="H437" t="n">
        <v>0</v>
      </c>
      <c r="I437" t="n">
        <v>0</v>
      </c>
      <c r="J437" t="n">
        <v>0</v>
      </c>
      <c r="K437" t="n">
        <v>0</v>
      </c>
      <c r="L437" t="n">
        <v>0</v>
      </c>
      <c r="M437">
        <f>F437+G437+H437+K437-I437-J437-L437</f>
        <v/>
      </c>
      <c r="N437" t="inlineStr">
        <is>
          <t>NO APLICA</t>
        </is>
      </c>
      <c r="O437" t="n">
        <v>5</v>
      </c>
      <c r="P437">
        <f>IF(M437&lt;0, "ERROR: SOBREGIRO", IF(M437=0, "SIN EXISTENCIAS", IF(M437&lt;=O437, "STOCK BAJO", "STOCK NORMAL")))</f>
        <v/>
      </c>
    </row>
    <row r="438">
      <c r="A438" t="n">
        <v>8555</v>
      </c>
      <c r="B438" t="inlineStr">
        <is>
          <t>DISCO DE CORTE METAL 4 1/2"</t>
        </is>
      </c>
      <c r="C438" t="inlineStr">
        <is>
          <t>Consumibles</t>
        </is>
      </c>
      <c r="D438" t="inlineStr">
        <is>
          <t>Unidad</t>
        </is>
      </c>
      <c r="E438" t="inlineStr">
        <is>
          <t>CDS</t>
        </is>
      </c>
      <c r="F438" t="n">
        <v>0</v>
      </c>
      <c r="G438" t="n">
        <v>0</v>
      </c>
      <c r="H438" t="n">
        <v>0</v>
      </c>
      <c r="I438" t="n">
        <v>0</v>
      </c>
      <c r="J438" t="n">
        <v>0</v>
      </c>
      <c r="K438" t="n">
        <v>0</v>
      </c>
      <c r="L438" t="n">
        <v>0</v>
      </c>
      <c r="M438">
        <f>F438+G438+H438+K438-I438-J438-L438</f>
        <v/>
      </c>
      <c r="N438" t="inlineStr">
        <is>
          <t>NO APLICA</t>
        </is>
      </c>
      <c r="O438" t="n">
        <v>5</v>
      </c>
      <c r="P438">
        <f>IF(M438&lt;0, "ERROR: SOBREGIRO", IF(M438=0, "SIN EXISTENCIAS", IF(M438&lt;=O438, "STOCK BAJO", "STOCK NORMAL")))</f>
        <v/>
      </c>
    </row>
    <row r="439">
      <c r="A439" t="n">
        <v>8621</v>
      </c>
      <c r="B439" t="inlineStr">
        <is>
          <t>MEDIDOR MICROSTAR P2000-T</t>
        </is>
      </c>
      <c r="C439" t="inlineStr">
        <is>
          <t>Materiales</t>
        </is>
      </c>
      <c r="D439" t="inlineStr">
        <is>
          <t>Unidad</t>
        </is>
      </c>
      <c r="E439" t="inlineStr">
        <is>
          <t>CDS</t>
        </is>
      </c>
      <c r="F439" t="n">
        <v>0</v>
      </c>
      <c r="G439" t="n">
        <v>0</v>
      </c>
      <c r="H439" t="n">
        <v>0</v>
      </c>
      <c r="I439" t="n">
        <v>0</v>
      </c>
      <c r="J439" t="n">
        <v>0</v>
      </c>
      <c r="K439" t="n">
        <v>0</v>
      </c>
      <c r="L439" t="n">
        <v>0</v>
      </c>
      <c r="M439">
        <f>F439+G439+H439+K439-I439-J439-L439</f>
        <v/>
      </c>
      <c r="N439" t="inlineStr">
        <is>
          <t>NO APLICA</t>
        </is>
      </c>
      <c r="O439" t="n">
        <v>5</v>
      </c>
      <c r="P439">
        <f>IF(M439&lt;0, "ERROR: SOBREGIRO", IF(M439=0, "SIN EXISTENCIAS", IF(M439&lt;=O439, "STOCK BAJO", "STOCK NORMAL")))</f>
        <v/>
      </c>
    </row>
    <row r="440">
      <c r="A440" t="n">
        <v>8626</v>
      </c>
      <c r="B440" t="inlineStr">
        <is>
          <t>MEDIDOR TRIFASICO P2000-D (TETRAFILAR CONEXION DIRECTA CLASE 1 100A (240V) DLMS-COSEM)</t>
        </is>
      </c>
      <c r="C440" t="inlineStr">
        <is>
          <t>Materiales</t>
        </is>
      </c>
      <c r="D440" t="inlineStr">
        <is>
          <t>Unidad</t>
        </is>
      </c>
      <c r="E440" t="inlineStr">
        <is>
          <t>CDS</t>
        </is>
      </c>
      <c r="F440" t="n">
        <v>0</v>
      </c>
      <c r="G440" t="n">
        <v>0</v>
      </c>
      <c r="H440" t="n">
        <v>0</v>
      </c>
      <c r="I440" t="n">
        <v>0</v>
      </c>
      <c r="J440" t="n">
        <v>0</v>
      </c>
      <c r="K440" t="n">
        <v>0</v>
      </c>
      <c r="L440" t="n">
        <v>0</v>
      </c>
      <c r="M440">
        <f>F440+G440+H440+K440-I440-J440-L440</f>
        <v/>
      </c>
      <c r="N440" t="inlineStr">
        <is>
          <t>NO APLICA</t>
        </is>
      </c>
      <c r="O440" t="n">
        <v>5</v>
      </c>
      <c r="P440">
        <f>IF(M440&lt;0, "ERROR: SOBREGIRO", IF(M440=0, "SIN EXISTENCIAS", IF(M440&lt;=O440, "STOCK BAJO", "STOCK NORMAL")))</f>
        <v/>
      </c>
    </row>
    <row r="441">
      <c r="A441" t="n">
        <v>8662</v>
      </c>
      <c r="B441" t="inlineStr">
        <is>
          <t>DPS FV20C/2-150S FATECH</t>
        </is>
      </c>
      <c r="C441" t="inlineStr">
        <is>
          <t>Materiales</t>
        </is>
      </c>
      <c r="D441" t="inlineStr">
        <is>
          <t>Unidad</t>
        </is>
      </c>
      <c r="E441" t="inlineStr">
        <is>
          <t>CDS</t>
        </is>
      </c>
      <c r="F441" t="n">
        <v>0</v>
      </c>
      <c r="G441" t="n">
        <v>0</v>
      </c>
      <c r="H441" t="n">
        <v>0</v>
      </c>
      <c r="I441" t="n">
        <v>0</v>
      </c>
      <c r="J441" t="n">
        <v>0</v>
      </c>
      <c r="K441" t="n">
        <v>0</v>
      </c>
      <c r="L441" t="n">
        <v>0</v>
      </c>
      <c r="M441">
        <f>F441+G441+H441+K441-I441-J441-L441</f>
        <v/>
      </c>
      <c r="N441" t="inlineStr">
        <is>
          <t>NO APLICA</t>
        </is>
      </c>
      <c r="O441" t="n">
        <v>5</v>
      </c>
      <c r="P441">
        <f>IF(M441&lt;0, "ERROR: SOBREGIRO", IF(M441=0, "SIN EXISTENCIAS", IF(M441&lt;=O441, "STOCK BAJO", "STOCK NORMAL")))</f>
        <v/>
      </c>
    </row>
    <row r="442">
      <c r="A442" t="n">
        <v>8721</v>
      </c>
      <c r="B442" t="inlineStr">
        <is>
          <t>REDUCCION BANDEJA SIMETRICA 20-10X8</t>
        </is>
      </c>
      <c r="C442" t="inlineStr">
        <is>
          <t>Materiales</t>
        </is>
      </c>
      <c r="D442" t="inlineStr">
        <is>
          <t>Unidad</t>
        </is>
      </c>
      <c r="E442" t="inlineStr">
        <is>
          <t>CDS</t>
        </is>
      </c>
      <c r="F442" t="n">
        <v>0</v>
      </c>
      <c r="G442" t="n">
        <v>0</v>
      </c>
      <c r="H442" t="n">
        <v>0</v>
      </c>
      <c r="I442" t="n">
        <v>0</v>
      </c>
      <c r="J442" t="n">
        <v>0</v>
      </c>
      <c r="K442" t="n">
        <v>0</v>
      </c>
      <c r="L442" t="n">
        <v>0</v>
      </c>
      <c r="M442">
        <f>F442+G442+H442+K442-I442-J442-L442</f>
        <v/>
      </c>
      <c r="N442" t="inlineStr">
        <is>
          <t>NO APLICA</t>
        </is>
      </c>
      <c r="O442" t="n">
        <v>5</v>
      </c>
      <c r="P442">
        <f>IF(M442&lt;0, "ERROR: SOBREGIRO", IF(M442=0, "SIN EXISTENCIAS", IF(M442&lt;=O442, "STOCK BAJO", "STOCK NORMAL")))</f>
        <v/>
      </c>
    </row>
    <row r="443">
      <c r="A443" t="n">
        <v>8737</v>
      </c>
      <c r="B443" t="inlineStr">
        <is>
          <t>AEROSOL ANTICORROSIVO RUST OLEUM GALVANIZADO MATE - 12 OZ</t>
        </is>
      </c>
      <c r="C443" t="inlineStr">
        <is>
          <t>Consumibles</t>
        </is>
      </c>
      <c r="D443" t="inlineStr">
        <is>
          <t>Unidad</t>
        </is>
      </c>
      <c r="E443" t="inlineStr">
        <is>
          <t>CDS</t>
        </is>
      </c>
      <c r="F443" t="n">
        <v>29</v>
      </c>
      <c r="G443" t="n">
        <v>0</v>
      </c>
      <c r="H443" t="n">
        <v>0</v>
      </c>
      <c r="I443" t="n">
        <v>0</v>
      </c>
      <c r="J443" t="n">
        <v>0</v>
      </c>
      <c r="K443" t="n">
        <v>0</v>
      </c>
      <c r="L443" t="n">
        <v>0</v>
      </c>
      <c r="M443">
        <f>F443+G443+H443+K443-I443-J443-L443</f>
        <v/>
      </c>
      <c r="N443" t="inlineStr">
        <is>
          <t>NO APLICA</t>
        </is>
      </c>
      <c r="O443" t="n">
        <v>5</v>
      </c>
      <c r="P443">
        <f>IF(M443&lt;0, "ERROR: SOBREGIRO", IF(M443=0, "SIN EXISTENCIAS", IF(M443&lt;=O443, "STOCK BAJO", "STOCK NORMAL")))</f>
        <v/>
      </c>
    </row>
    <row r="444">
      <c r="A444" t="n">
        <v>8793</v>
      </c>
      <c r="B444" t="inlineStr">
        <is>
          <t>CONDULETA LB 3" INTEMPERIE</t>
        </is>
      </c>
      <c r="C444" t="inlineStr">
        <is>
          <t>Materiales</t>
        </is>
      </c>
      <c r="D444" t="inlineStr">
        <is>
          <t>Unidad</t>
        </is>
      </c>
      <c r="E444" t="inlineStr">
        <is>
          <t>CDS</t>
        </is>
      </c>
      <c r="F444" t="n">
        <v>16</v>
      </c>
      <c r="G444" t="n">
        <v>0</v>
      </c>
      <c r="H444" t="n">
        <v>0</v>
      </c>
      <c r="I444" t="n">
        <v>0</v>
      </c>
      <c r="J444" t="n">
        <v>0</v>
      </c>
      <c r="K444" t="n">
        <v>0</v>
      </c>
      <c r="L444" t="n">
        <v>0</v>
      </c>
      <c r="M444">
        <f>F444+G444+H444+K444-I444-J444-L444</f>
        <v/>
      </c>
      <c r="N444" t="inlineStr">
        <is>
          <t>NO APLICA</t>
        </is>
      </c>
      <c r="O444" t="n">
        <v>5</v>
      </c>
      <c r="P444">
        <f>IF(M444&lt;0, "ERROR: SOBREGIRO", IF(M444=0, "SIN EXISTENCIAS", IF(M444&lt;=O444, "STOCK BAJO", "STOCK NORMAL")))</f>
        <v/>
      </c>
    </row>
    <row r="445">
      <c r="A445" t="n">
        <v>8795</v>
      </c>
      <c r="B445" t="inlineStr">
        <is>
          <t>CORAZA FLEXIBLE VERDE 3/4 “</t>
        </is>
      </c>
      <c r="C445" t="inlineStr">
        <is>
          <t>Materiales</t>
        </is>
      </c>
      <c r="D445" t="inlineStr">
        <is>
          <t>Unidad</t>
        </is>
      </c>
      <c r="E445" t="inlineStr">
        <is>
          <t>CDS</t>
        </is>
      </c>
      <c r="F445" t="n">
        <v>0</v>
      </c>
      <c r="G445" t="n">
        <v>0</v>
      </c>
      <c r="H445" t="n">
        <v>0</v>
      </c>
      <c r="I445" t="n">
        <v>0</v>
      </c>
      <c r="J445" t="n">
        <v>0</v>
      </c>
      <c r="K445" t="n">
        <v>0</v>
      </c>
      <c r="L445" t="n">
        <v>0</v>
      </c>
      <c r="M445">
        <f>F445+G445+H445+K445-I445-J445-L445</f>
        <v/>
      </c>
      <c r="N445" t="inlineStr">
        <is>
          <t>NO APLICA</t>
        </is>
      </c>
      <c r="O445" t="n">
        <v>5</v>
      </c>
      <c r="P445">
        <f>IF(M445&lt;0, "ERROR: SOBREGIRO", IF(M445=0, "SIN EXISTENCIAS", IF(M445&lt;=O445, "STOCK BAJO", "STOCK NORMAL")))</f>
        <v/>
      </c>
    </row>
    <row r="446">
      <c r="A446" t="n">
        <v>8801</v>
      </c>
      <c r="B446" t="inlineStr">
        <is>
          <t>TERMINAL EMT 4"</t>
        </is>
      </c>
      <c r="C446" t="inlineStr">
        <is>
          <t>Elementos electricos</t>
        </is>
      </c>
      <c r="D446" t="inlineStr">
        <is>
          <t>Unidad</t>
        </is>
      </c>
      <c r="E446" t="inlineStr">
        <is>
          <t>CDS</t>
        </is>
      </c>
      <c r="F446" t="n">
        <v>0</v>
      </c>
      <c r="G446" t="n">
        <v>0</v>
      </c>
      <c r="H446" t="n">
        <v>0</v>
      </c>
      <c r="I446" t="n">
        <v>0</v>
      </c>
      <c r="J446" t="n">
        <v>0</v>
      </c>
      <c r="K446" t="n">
        <v>0</v>
      </c>
      <c r="L446" t="n">
        <v>0</v>
      </c>
      <c r="M446">
        <f>F446+G446+H446+K446-I446-J446-L446</f>
        <v/>
      </c>
      <c r="N446" t="inlineStr">
        <is>
          <t>NO APLICA</t>
        </is>
      </c>
      <c r="O446" t="n">
        <v>5</v>
      </c>
      <c r="P446">
        <f>IF(M446&lt;0, "ERROR: SOBREGIRO", IF(M446=0, "SIN EXISTENCIAS", IF(M446&lt;=O446, "STOCK BAJO", "STOCK NORMAL")))</f>
        <v/>
      </c>
    </row>
    <row r="447">
      <c r="A447" t="n">
        <v>8802</v>
      </c>
      <c r="B447" t="inlineStr">
        <is>
          <t>TERMINAL IMC 1 1/2"</t>
        </is>
      </c>
      <c r="C447" t="inlineStr">
        <is>
          <t>Elementos electricos</t>
        </is>
      </c>
      <c r="D447" t="inlineStr">
        <is>
          <t>Unidad</t>
        </is>
      </c>
      <c r="E447" t="inlineStr">
        <is>
          <t>CDS</t>
        </is>
      </c>
      <c r="F447" t="n">
        <v>0</v>
      </c>
      <c r="G447" t="n">
        <v>0</v>
      </c>
      <c r="H447" t="n">
        <v>0</v>
      </c>
      <c r="I447" t="n">
        <v>0</v>
      </c>
      <c r="J447" t="n">
        <v>0</v>
      </c>
      <c r="K447" t="n">
        <v>0</v>
      </c>
      <c r="L447" t="n">
        <v>0</v>
      </c>
      <c r="M447">
        <f>F447+G447+H447+K447-I447-J447-L447</f>
        <v/>
      </c>
      <c r="N447" t="inlineStr">
        <is>
          <t>NO APLICA</t>
        </is>
      </c>
      <c r="O447" t="n">
        <v>5</v>
      </c>
      <c r="P447">
        <f>IF(M447&lt;0, "ERROR: SOBREGIRO", IF(M447=0, "SIN EXISTENCIAS", IF(M447&lt;=O447, "STOCK BAJO", "STOCK NORMAL")))</f>
        <v/>
      </c>
    </row>
    <row r="448">
      <c r="A448" t="n">
        <v>8803</v>
      </c>
      <c r="B448" t="inlineStr">
        <is>
          <t>TERMINAL IMC 1 1/4"</t>
        </is>
      </c>
      <c r="C448" t="inlineStr">
        <is>
          <t>Elementos electricos</t>
        </is>
      </c>
      <c r="D448" t="inlineStr">
        <is>
          <t>Unidad</t>
        </is>
      </c>
      <c r="E448" t="inlineStr">
        <is>
          <t>CDS</t>
        </is>
      </c>
      <c r="F448" t="n">
        <v>0</v>
      </c>
      <c r="G448" t="n">
        <v>0</v>
      </c>
      <c r="H448" t="n">
        <v>0</v>
      </c>
      <c r="I448" t="n">
        <v>0</v>
      </c>
      <c r="J448" t="n">
        <v>0</v>
      </c>
      <c r="K448" t="n">
        <v>0</v>
      </c>
      <c r="L448" t="n">
        <v>0</v>
      </c>
      <c r="M448">
        <f>F448+G448+H448+K448-I448-J448-L448</f>
        <v/>
      </c>
      <c r="N448" t="inlineStr">
        <is>
          <t>NO APLICA</t>
        </is>
      </c>
      <c r="O448" t="n">
        <v>5</v>
      </c>
      <c r="P448">
        <f>IF(M448&lt;0, "ERROR: SOBREGIRO", IF(M448=0, "SIN EXISTENCIAS", IF(M448&lt;=O448, "STOCK BAJO", "STOCK NORMAL")))</f>
        <v/>
      </c>
    </row>
    <row r="449">
      <c r="A449" t="n">
        <v>8804</v>
      </c>
      <c r="B449" t="inlineStr">
        <is>
          <t>TERMINAL IMC 3"</t>
        </is>
      </c>
      <c r="C449" t="inlineStr">
        <is>
          <t>Elementos electricos</t>
        </is>
      </c>
      <c r="D449" t="inlineStr">
        <is>
          <t>Unidad</t>
        </is>
      </c>
      <c r="E449" t="inlineStr">
        <is>
          <t>CDS</t>
        </is>
      </c>
      <c r="F449" t="n">
        <v>0</v>
      </c>
      <c r="G449" t="n">
        <v>0</v>
      </c>
      <c r="H449" t="n">
        <v>0</v>
      </c>
      <c r="I449" t="n">
        <v>0</v>
      </c>
      <c r="J449" t="n">
        <v>0</v>
      </c>
      <c r="K449" t="n">
        <v>0</v>
      </c>
      <c r="L449" t="n">
        <v>0</v>
      </c>
      <c r="M449">
        <f>F449+G449+H449+K449-I449-J449-L449</f>
        <v/>
      </c>
      <c r="N449" t="inlineStr">
        <is>
          <t>NO APLICA</t>
        </is>
      </c>
      <c r="O449" t="n">
        <v>5</v>
      </c>
      <c r="P449">
        <f>IF(M449&lt;0, "ERROR: SOBREGIRO", IF(M449=0, "SIN EXISTENCIAS", IF(M449&lt;=O449, "STOCK BAJO", "STOCK NORMAL")))</f>
        <v/>
      </c>
    </row>
    <row r="450">
      <c r="A450" t="n">
        <v>8805</v>
      </c>
      <c r="B450" t="inlineStr">
        <is>
          <t>TUBO EMT 3"</t>
        </is>
      </c>
      <c r="C450" t="inlineStr">
        <is>
          <t>Materiales</t>
        </is>
      </c>
      <c r="D450" t="inlineStr">
        <is>
          <t>Unidad</t>
        </is>
      </c>
      <c r="E450" t="inlineStr">
        <is>
          <t>CDS</t>
        </is>
      </c>
      <c r="F450" t="n">
        <v>0</v>
      </c>
      <c r="G450" t="n">
        <v>0</v>
      </c>
      <c r="H450" t="n">
        <v>0</v>
      </c>
      <c r="I450" t="n">
        <v>0</v>
      </c>
      <c r="J450" t="n">
        <v>0</v>
      </c>
      <c r="K450" t="n">
        <v>0</v>
      </c>
      <c r="L450" t="n">
        <v>0</v>
      </c>
      <c r="M450">
        <f>F450+G450+H450+K450-I450-J450-L450</f>
        <v/>
      </c>
      <c r="N450" t="inlineStr">
        <is>
          <t>NO APLICA</t>
        </is>
      </c>
      <c r="O450" t="n">
        <v>5</v>
      </c>
      <c r="P450">
        <f>IF(M450&lt;0, "ERROR: SOBREGIRO", IF(M450=0, "SIN EXISTENCIAS", IF(M450&lt;=O450, "STOCK BAJO", "STOCK NORMAL")))</f>
        <v/>
      </c>
    </row>
    <row r="451">
      <c r="A451" t="n">
        <v>8807</v>
      </c>
      <c r="B451" t="inlineStr">
        <is>
          <t>UNION CONDUIT PVC (SCH 40) 2"</t>
        </is>
      </c>
      <c r="C451" t="inlineStr">
        <is>
          <t>Materiales</t>
        </is>
      </c>
      <c r="D451" t="inlineStr">
        <is>
          <t>Unidad</t>
        </is>
      </c>
      <c r="E451" t="inlineStr">
        <is>
          <t>CDS</t>
        </is>
      </c>
      <c r="F451" t="n">
        <v>0</v>
      </c>
      <c r="G451" t="n">
        <v>0</v>
      </c>
      <c r="H451" t="n">
        <v>0</v>
      </c>
      <c r="I451" t="n">
        <v>0</v>
      </c>
      <c r="J451" t="n">
        <v>0</v>
      </c>
      <c r="K451" t="n">
        <v>0</v>
      </c>
      <c r="L451" t="n">
        <v>0</v>
      </c>
      <c r="M451">
        <f>F451+G451+H451+K451-I451-J451-L451</f>
        <v/>
      </c>
      <c r="N451" t="inlineStr">
        <is>
          <t>NO APLICA</t>
        </is>
      </c>
      <c r="O451" t="n">
        <v>5</v>
      </c>
      <c r="P451">
        <f>IF(M451&lt;0, "ERROR: SOBREGIRO", IF(M451=0, "SIN EXISTENCIAS", IF(M451&lt;=O451, "STOCK BAJO", "STOCK NORMAL")))</f>
        <v/>
      </c>
    </row>
    <row r="452">
      <c r="A452" t="n">
        <v>8814</v>
      </c>
      <c r="B452" t="inlineStr">
        <is>
          <t>UNION EMT 3"</t>
        </is>
      </c>
      <c r="C452" t="inlineStr">
        <is>
          <t>Materiales</t>
        </is>
      </c>
      <c r="D452" t="inlineStr">
        <is>
          <t>Unidad</t>
        </is>
      </c>
      <c r="E452" t="inlineStr">
        <is>
          <t>CDS</t>
        </is>
      </c>
      <c r="F452" t="n">
        <v>0</v>
      </c>
      <c r="G452" t="n">
        <v>0</v>
      </c>
      <c r="H452" t="n">
        <v>0</v>
      </c>
      <c r="I452" t="n">
        <v>0</v>
      </c>
      <c r="J452" t="n">
        <v>0</v>
      </c>
      <c r="K452" t="n">
        <v>0</v>
      </c>
      <c r="L452" t="n">
        <v>0</v>
      </c>
      <c r="M452">
        <f>F452+G452+H452+K452-I452-J452-L452</f>
        <v/>
      </c>
      <c r="N452" t="inlineStr">
        <is>
          <t>NO APLICA</t>
        </is>
      </c>
      <c r="O452" t="n">
        <v>5</v>
      </c>
      <c r="P452">
        <f>IF(M452&lt;0, "ERROR: SOBREGIRO", IF(M452=0, "SIN EXISTENCIAS", IF(M452&lt;=O452, "STOCK BAJO", "STOCK NORMAL")))</f>
        <v/>
      </c>
    </row>
    <row r="453">
      <c r="A453" t="n">
        <v>8816</v>
      </c>
      <c r="B453" t="inlineStr">
        <is>
          <t>UNION IMC 3"</t>
        </is>
      </c>
      <c r="C453" t="inlineStr">
        <is>
          <t>Materiales</t>
        </is>
      </c>
      <c r="D453" t="inlineStr">
        <is>
          <t>Unidad</t>
        </is>
      </c>
      <c r="E453" t="inlineStr">
        <is>
          <t>CDS</t>
        </is>
      </c>
      <c r="F453" t="n">
        <v>0</v>
      </c>
      <c r="G453" t="n">
        <v>0</v>
      </c>
      <c r="H453" t="n">
        <v>0</v>
      </c>
      <c r="I453" t="n">
        <v>0</v>
      </c>
      <c r="J453" t="n">
        <v>0</v>
      </c>
      <c r="K453" t="n">
        <v>0</v>
      </c>
      <c r="L453" t="n">
        <v>0</v>
      </c>
      <c r="M453">
        <f>F453+G453+H453+K453-I453-J453-L453</f>
        <v/>
      </c>
      <c r="N453" t="inlineStr">
        <is>
          <t>NO APLICA</t>
        </is>
      </c>
      <c r="O453" t="n">
        <v>5</v>
      </c>
      <c r="P453">
        <f>IF(M453&lt;0, "ERROR: SOBREGIRO", IF(M453=0, "SIN EXISTENCIAS", IF(M453&lt;=O453, "STOCK BAJO", "STOCK NORMAL")))</f>
        <v/>
      </c>
    </row>
    <row r="454">
      <c r="A454" t="n">
        <v>8817</v>
      </c>
      <c r="B454" t="inlineStr">
        <is>
          <t>UNION IMC 4"</t>
        </is>
      </c>
      <c r="C454" t="inlineStr">
        <is>
          <t>Materiales</t>
        </is>
      </c>
      <c r="D454" t="inlineStr">
        <is>
          <t>Unidad</t>
        </is>
      </c>
      <c r="E454" t="inlineStr">
        <is>
          <t>CDS</t>
        </is>
      </c>
      <c r="F454" t="n">
        <v>0</v>
      </c>
      <c r="G454" t="n">
        <v>0</v>
      </c>
      <c r="H454" t="n">
        <v>0</v>
      </c>
      <c r="I454" t="n">
        <v>0</v>
      </c>
      <c r="J454" t="n">
        <v>0</v>
      </c>
      <c r="K454" t="n">
        <v>0</v>
      </c>
      <c r="L454" t="n">
        <v>0</v>
      </c>
      <c r="M454">
        <f>F454+G454+H454+K454-I454-J454-L454</f>
        <v/>
      </c>
      <c r="N454" t="inlineStr">
        <is>
          <t>NO APLICA</t>
        </is>
      </c>
      <c r="O454" t="n">
        <v>5</v>
      </c>
      <c r="P454">
        <f>IF(M454&lt;0, "ERROR: SOBREGIRO", IF(M454=0, "SIN EXISTENCIAS", IF(M454&lt;=O454, "STOCK BAJO", "STOCK NORMAL")))</f>
        <v/>
      </c>
    </row>
    <row r="455">
      <c r="A455" t="n">
        <v>8974</v>
      </c>
      <c r="B455" t="inlineStr">
        <is>
          <t>AMARRE PLASTICO BLANCO 20 CM DEXSON</t>
        </is>
      </c>
      <c r="C455" t="inlineStr">
        <is>
          <t>Materiales</t>
        </is>
      </c>
      <c r="D455" t="inlineStr">
        <is>
          <t>Unidad</t>
        </is>
      </c>
      <c r="E455" t="inlineStr">
        <is>
          <t>CDS</t>
        </is>
      </c>
      <c r="F455" t="n">
        <v>0</v>
      </c>
      <c r="G455" t="n">
        <v>0</v>
      </c>
      <c r="H455" t="n">
        <v>0</v>
      </c>
      <c r="I455" t="n">
        <v>0</v>
      </c>
      <c r="J455" t="n">
        <v>0</v>
      </c>
      <c r="K455" t="n">
        <v>0</v>
      </c>
      <c r="L455" t="n">
        <v>0</v>
      </c>
      <c r="M455">
        <f>F455+G455+H455+K455-I455-J455-L455</f>
        <v/>
      </c>
      <c r="N455" t="inlineStr">
        <is>
          <t>NO APLICA</t>
        </is>
      </c>
      <c r="O455" t="n">
        <v>5</v>
      </c>
      <c r="P455">
        <f>IF(M455&lt;0, "ERROR: SOBREGIRO", IF(M455=0, "SIN EXISTENCIAS", IF(M455&lt;=O455, "STOCK BAJO", "STOCK NORMAL")))</f>
        <v/>
      </c>
    </row>
    <row r="456">
      <c r="A456" t="n">
        <v>9080</v>
      </c>
      <c r="B456" t="inlineStr">
        <is>
          <t>CAJA DE PASO PLASTICA 21X21X14MM KOWET K2121-14</t>
        </is>
      </c>
      <c r="C456" t="inlineStr">
        <is>
          <t>Materiales</t>
        </is>
      </c>
      <c r="D456" t="inlineStr">
        <is>
          <t>Caja</t>
        </is>
      </c>
      <c r="E456" t="inlineStr">
        <is>
          <t>CDS</t>
        </is>
      </c>
      <c r="F456" t="n">
        <v>0</v>
      </c>
      <c r="G456" t="n">
        <v>0</v>
      </c>
      <c r="H456" t="n">
        <v>0</v>
      </c>
      <c r="I456" t="n">
        <v>0</v>
      </c>
      <c r="J456" t="n">
        <v>0</v>
      </c>
      <c r="K456" t="n">
        <v>0</v>
      </c>
      <c r="L456" t="n">
        <v>0</v>
      </c>
      <c r="M456">
        <f>F456+G456+H456+K456-I456-J456-L456</f>
        <v/>
      </c>
      <c r="N456" t="inlineStr">
        <is>
          <t>NO APLICA</t>
        </is>
      </c>
      <c r="O456" t="n">
        <v>5</v>
      </c>
      <c r="P456">
        <f>IF(M456&lt;0, "ERROR: SOBREGIRO", IF(M456=0, "SIN EXISTENCIAS", IF(M456&lt;=O456, "STOCK BAJO", "STOCK NORMAL")))</f>
        <v/>
      </c>
    </row>
    <row r="457">
      <c r="A457" t="n">
        <v>9085</v>
      </c>
      <c r="B457" t="inlineStr">
        <is>
          <t>CAJA PLASTICA CON DOBLE FONDO 28X21X13 FAMATEL</t>
        </is>
      </c>
      <c r="C457" t="inlineStr">
        <is>
          <t>Materiales</t>
        </is>
      </c>
      <c r="D457" t="inlineStr">
        <is>
          <t>Caja</t>
        </is>
      </c>
      <c r="E457" t="inlineStr">
        <is>
          <t>CDS</t>
        </is>
      </c>
      <c r="F457" t="n">
        <v>0</v>
      </c>
      <c r="G457" t="n">
        <v>0</v>
      </c>
      <c r="H457" t="n">
        <v>0</v>
      </c>
      <c r="I457" t="n">
        <v>0</v>
      </c>
      <c r="J457" t="n">
        <v>0</v>
      </c>
      <c r="K457" t="n">
        <v>0</v>
      </c>
      <c r="L457" t="n">
        <v>0</v>
      </c>
      <c r="M457">
        <f>F457+G457+H457+K457-I457-J457-L457</f>
        <v/>
      </c>
      <c r="N457" t="inlineStr">
        <is>
          <t>NO APLICA</t>
        </is>
      </c>
      <c r="O457" t="n">
        <v>5</v>
      </c>
      <c r="P457">
        <f>IF(M457&lt;0, "ERROR: SOBREGIRO", IF(M457=0, "SIN EXISTENCIAS", IF(M457&lt;=O457, "STOCK BAJO", "STOCK NORMAL")))</f>
        <v/>
      </c>
    </row>
    <row r="458">
      <c r="A458" t="n">
        <v>9093</v>
      </c>
      <c r="B458" t="inlineStr">
        <is>
          <t>GABINETE 600X400X250 DKC0289</t>
        </is>
      </c>
      <c r="C458" t="inlineStr">
        <is>
          <t>Materiales</t>
        </is>
      </c>
      <c r="D458" t="inlineStr">
        <is>
          <t>Unidad</t>
        </is>
      </c>
      <c r="E458" t="inlineStr">
        <is>
          <t>CDS</t>
        </is>
      </c>
      <c r="F458" t="n">
        <v>0</v>
      </c>
      <c r="G458" t="n">
        <v>0</v>
      </c>
      <c r="H458" t="n">
        <v>0</v>
      </c>
      <c r="I458" t="n">
        <v>0</v>
      </c>
      <c r="J458" t="n">
        <v>0</v>
      </c>
      <c r="K458" t="n">
        <v>0</v>
      </c>
      <c r="L458" t="n">
        <v>0</v>
      </c>
      <c r="M458">
        <f>F458+G458+H458+K458-I458-J458-L458</f>
        <v/>
      </c>
      <c r="N458" t="inlineStr">
        <is>
          <t>NO APLICA</t>
        </is>
      </c>
      <c r="O458" t="n">
        <v>5</v>
      </c>
      <c r="P458">
        <f>IF(M458&lt;0, "ERROR: SOBREGIRO", IF(M458=0, "SIN EXISTENCIAS", IF(M458&lt;=O458, "STOCK BAJO", "STOCK NORMAL")))</f>
        <v/>
      </c>
    </row>
    <row r="459">
      <c r="A459" t="n">
        <v>9095</v>
      </c>
      <c r="B459" t="inlineStr">
        <is>
          <t>PRENSA ESTOPA 2" DEXON</t>
        </is>
      </c>
      <c r="C459" t="inlineStr">
        <is>
          <t>Materiales</t>
        </is>
      </c>
      <c r="D459" t="inlineStr">
        <is>
          <t>Unidad</t>
        </is>
      </c>
      <c r="E459" t="inlineStr">
        <is>
          <t>CDS</t>
        </is>
      </c>
      <c r="F459" t="n">
        <v>0</v>
      </c>
      <c r="G459" t="n">
        <v>0</v>
      </c>
      <c r="H459" t="n">
        <v>0</v>
      </c>
      <c r="I459" t="n">
        <v>0</v>
      </c>
      <c r="J459" t="n">
        <v>0</v>
      </c>
      <c r="K459" t="n">
        <v>0</v>
      </c>
      <c r="L459" t="n">
        <v>0</v>
      </c>
      <c r="M459">
        <f>F459+G459+H459+K459-I459-J459-L459</f>
        <v/>
      </c>
      <c r="N459" t="inlineStr">
        <is>
          <t>NO APLICA</t>
        </is>
      </c>
      <c r="O459" t="n">
        <v>5</v>
      </c>
      <c r="P459">
        <f>IF(M459&lt;0, "ERROR: SOBREGIRO", IF(M459=0, "SIN EXISTENCIAS", IF(M459&lt;=O459, "STOCK BAJO", "STOCK NORMAL")))</f>
        <v/>
      </c>
    </row>
    <row r="460">
      <c r="A460" t="n">
        <v>9114</v>
      </c>
      <c r="B460" t="inlineStr">
        <is>
          <t>VARILLA ROSCADA GALVANIZADA 1/2"</t>
        </is>
      </c>
      <c r="C460" t="inlineStr">
        <is>
          <t>Tornilleria</t>
        </is>
      </c>
      <c r="D460" t="inlineStr">
        <is>
          <t>Unidad</t>
        </is>
      </c>
      <c r="E460" t="inlineStr">
        <is>
          <t>CDS</t>
        </is>
      </c>
      <c r="F460" t="n">
        <v>0</v>
      </c>
      <c r="G460" t="n">
        <v>0</v>
      </c>
      <c r="H460" t="n">
        <v>0</v>
      </c>
      <c r="I460" t="n">
        <v>0</v>
      </c>
      <c r="J460" t="n">
        <v>0</v>
      </c>
      <c r="K460" t="n">
        <v>0</v>
      </c>
      <c r="L460" t="n">
        <v>0</v>
      </c>
      <c r="M460">
        <f>F460+G460+H460+K460-I460-J460-L460</f>
        <v/>
      </c>
      <c r="N460" t="inlineStr">
        <is>
          <t>NO APLICA</t>
        </is>
      </c>
      <c r="O460" t="n">
        <v>5</v>
      </c>
      <c r="P460">
        <f>IF(M460&lt;0, "ERROR: SOBREGIRO", IF(M460=0, "SIN EXISTENCIAS", IF(M460&lt;=O460, "STOCK BAJO", "STOCK NORMAL")))</f>
        <v/>
      </c>
    </row>
    <row r="461">
      <c r="A461" t="n">
        <v>9120</v>
      </c>
      <c r="B461" t="inlineStr">
        <is>
          <t>CABLE ALUMINIO AISLADO 2 AWG</t>
        </is>
      </c>
      <c r="C461" t="inlineStr">
        <is>
          <t>Cableado</t>
        </is>
      </c>
      <c r="D461" t="inlineStr">
        <is>
          <t>Metro</t>
        </is>
      </c>
      <c r="E461" t="inlineStr">
        <is>
          <t>CDS</t>
        </is>
      </c>
      <c r="F461" t="n">
        <v>0</v>
      </c>
      <c r="G461" t="n">
        <v>0</v>
      </c>
      <c r="H461" t="n">
        <v>0</v>
      </c>
      <c r="I461" t="n">
        <v>0</v>
      </c>
      <c r="J461" t="n">
        <v>0</v>
      </c>
      <c r="K461" t="n">
        <v>0</v>
      </c>
      <c r="L461" t="n">
        <v>0</v>
      </c>
      <c r="M461">
        <f>F461+G461+H461+K461-I461-J461-L461</f>
        <v/>
      </c>
      <c r="N461" t="inlineStr">
        <is>
          <t>NO APLICA</t>
        </is>
      </c>
      <c r="O461" t="n">
        <v>5</v>
      </c>
      <c r="P461">
        <f>IF(M461&lt;0, "ERROR: SOBREGIRO", IF(M461=0, "SIN EXISTENCIAS", IF(M461&lt;=O461, "STOCK BAJO", "STOCK NORMAL")))</f>
        <v/>
      </c>
    </row>
    <row r="462">
      <c r="A462" t="n">
        <v>9131</v>
      </c>
      <c r="B462" t="inlineStr">
        <is>
          <t>TERMOENCOGIBLE CAFÉ 1"</t>
        </is>
      </c>
      <c r="C462" t="inlineStr">
        <is>
          <t>Materiales</t>
        </is>
      </c>
      <c r="D462" t="inlineStr">
        <is>
          <t>Unidad</t>
        </is>
      </c>
      <c r="E462" t="inlineStr">
        <is>
          <t>CDS</t>
        </is>
      </c>
      <c r="F462" t="n">
        <v>0</v>
      </c>
      <c r="G462" t="n">
        <v>0</v>
      </c>
      <c r="H462" t="n">
        <v>0</v>
      </c>
      <c r="I462" t="n">
        <v>0</v>
      </c>
      <c r="J462" t="n">
        <v>0</v>
      </c>
      <c r="K462" t="n">
        <v>0</v>
      </c>
      <c r="L462" t="n">
        <v>0</v>
      </c>
      <c r="M462">
        <f>F462+G462+H462+K462-I462-J462-L462</f>
        <v/>
      </c>
      <c r="N462" t="inlineStr">
        <is>
          <t>NO APLICA</t>
        </is>
      </c>
      <c r="O462" t="n">
        <v>5</v>
      </c>
      <c r="P462">
        <f>IF(M462&lt;0, "ERROR: SOBREGIRO", IF(M462=0, "SIN EXISTENCIAS", IF(M462&lt;=O462, "STOCK BAJO", "STOCK NORMAL")))</f>
        <v/>
      </c>
    </row>
    <row r="463">
      <c r="A463" t="n">
        <v>9132</v>
      </c>
      <c r="B463" t="inlineStr">
        <is>
          <t>TERMOENCOGIBLE NARANJA 1"</t>
        </is>
      </c>
      <c r="C463" t="inlineStr">
        <is>
          <t>Materiales</t>
        </is>
      </c>
      <c r="D463" t="inlineStr">
        <is>
          <t>Unidad</t>
        </is>
      </c>
      <c r="E463" t="inlineStr">
        <is>
          <t>CDS</t>
        </is>
      </c>
      <c r="F463" t="n">
        <v>0</v>
      </c>
      <c r="G463" t="n">
        <v>0</v>
      </c>
      <c r="H463" t="n">
        <v>0</v>
      </c>
      <c r="I463" t="n">
        <v>0</v>
      </c>
      <c r="J463" t="n">
        <v>0</v>
      </c>
      <c r="K463" t="n">
        <v>0</v>
      </c>
      <c r="L463" t="n">
        <v>0</v>
      </c>
      <c r="M463">
        <f>F463+G463+H463+K463-I463-J463-L463</f>
        <v/>
      </c>
      <c r="N463" t="inlineStr">
        <is>
          <t>NO APLICA</t>
        </is>
      </c>
      <c r="O463" t="n">
        <v>5</v>
      </c>
      <c r="P463">
        <f>IF(M463&lt;0, "ERROR: SOBREGIRO", IF(M463=0, "SIN EXISTENCIAS", IF(M463&lt;=O463, "STOCK BAJO", "STOCK NORMAL")))</f>
        <v/>
      </c>
    </row>
    <row r="464">
      <c r="A464" t="n">
        <v>9160</v>
      </c>
      <c r="B464" t="inlineStr">
        <is>
          <t>COPA SIERRA 2"</t>
        </is>
      </c>
      <c r="C464" t="inlineStr">
        <is>
          <t>Materiales</t>
        </is>
      </c>
      <c r="D464" t="inlineStr">
        <is>
          <t>Unidad</t>
        </is>
      </c>
      <c r="E464" t="inlineStr">
        <is>
          <t>CDS</t>
        </is>
      </c>
      <c r="F464" t="n">
        <v>0</v>
      </c>
      <c r="G464" t="n">
        <v>0</v>
      </c>
      <c r="H464" t="n">
        <v>0</v>
      </c>
      <c r="I464" t="n">
        <v>0</v>
      </c>
      <c r="J464" t="n">
        <v>0</v>
      </c>
      <c r="K464" t="n">
        <v>0</v>
      </c>
      <c r="L464" t="n">
        <v>0</v>
      </c>
      <c r="M464">
        <f>F464+G464+H464+K464-I464-J464-L464</f>
        <v/>
      </c>
      <c r="N464" t="inlineStr">
        <is>
          <t>NO APLICA</t>
        </is>
      </c>
      <c r="O464" t="n">
        <v>5</v>
      </c>
      <c r="P464">
        <f>IF(M464&lt;0, "ERROR: SOBREGIRO", IF(M464=0, "SIN EXISTENCIAS", IF(M464&lt;=O464, "STOCK BAJO", "STOCK NORMAL")))</f>
        <v/>
      </c>
    </row>
    <row r="465">
      <c r="A465" t="n">
        <v>9224</v>
      </c>
      <c r="B465" t="inlineStr">
        <is>
          <t>DPS FV20C/3-150S FATECH</t>
        </is>
      </c>
      <c r="C465" t="inlineStr">
        <is>
          <t>Materiales</t>
        </is>
      </c>
      <c r="D465" t="inlineStr">
        <is>
          <t>Unidad</t>
        </is>
      </c>
      <c r="E465" t="inlineStr">
        <is>
          <t>CDS</t>
        </is>
      </c>
      <c r="F465" t="n">
        <v>0</v>
      </c>
      <c r="G465" t="n">
        <v>0</v>
      </c>
      <c r="H465" t="n">
        <v>0</v>
      </c>
      <c r="I465" t="n">
        <v>0</v>
      </c>
      <c r="J465" t="n">
        <v>0</v>
      </c>
      <c r="K465" t="n">
        <v>0</v>
      </c>
      <c r="L465" t="n">
        <v>0</v>
      </c>
      <c r="M465">
        <f>F465+G465+H465+K465-I465-J465-L465</f>
        <v/>
      </c>
      <c r="N465" t="inlineStr">
        <is>
          <t>NO APLICA</t>
        </is>
      </c>
      <c r="O465" t="n">
        <v>5</v>
      </c>
      <c r="P465">
        <f>IF(M465&lt;0, "ERROR: SOBREGIRO", IF(M465=0, "SIN EXISTENCIAS", IF(M465&lt;=O465, "STOCK BAJO", "STOCK NORMAL")))</f>
        <v/>
      </c>
    </row>
    <row r="466">
      <c r="A466" t="n">
        <v>9282</v>
      </c>
      <c r="B466" t="inlineStr">
        <is>
          <t>AEROSOL ANTICORROSIVO GALVANIZADO 12 OZ RUST OLEUM</t>
        </is>
      </c>
      <c r="C466" t="inlineStr">
        <is>
          <t>Consumibles</t>
        </is>
      </c>
      <c r="D466" t="inlineStr">
        <is>
          <t>Unidad</t>
        </is>
      </c>
      <c r="E466" t="inlineStr">
        <is>
          <t>CDS</t>
        </is>
      </c>
      <c r="F466" t="n">
        <v>24</v>
      </c>
      <c r="G466" t="n">
        <v>0</v>
      </c>
      <c r="H466" t="n">
        <v>0</v>
      </c>
      <c r="I466" t="n">
        <v>0</v>
      </c>
      <c r="J466" t="n">
        <v>0</v>
      </c>
      <c r="K466" t="n">
        <v>0</v>
      </c>
      <c r="L466" t="n">
        <v>0</v>
      </c>
      <c r="M466">
        <f>F466+G466+H466+K466-I466-J466-L466</f>
        <v/>
      </c>
      <c r="N466" t="inlineStr">
        <is>
          <t>NO APLICA</t>
        </is>
      </c>
      <c r="O466" t="n">
        <v>5</v>
      </c>
      <c r="P466">
        <f>IF(M466&lt;0, "ERROR: SOBREGIRO", IF(M466=0, "SIN EXISTENCIAS", IF(M466&lt;=O466, "STOCK BAJO", "STOCK NORMAL")))</f>
        <v/>
      </c>
    </row>
    <row r="467">
      <c r="A467" t="n">
        <v>9283</v>
      </c>
      <c r="B467" t="inlineStr">
        <is>
          <t>AEROSOL NARANJA PINTUCO</t>
        </is>
      </c>
      <c r="C467" t="inlineStr">
        <is>
          <t>Consumibles</t>
        </is>
      </c>
      <c r="D467" t="inlineStr">
        <is>
          <t>Unidad</t>
        </is>
      </c>
      <c r="E467" t="inlineStr">
        <is>
          <t>CDS</t>
        </is>
      </c>
      <c r="F467" t="n">
        <v>20</v>
      </c>
      <c r="G467" t="n">
        <v>0</v>
      </c>
      <c r="H467" t="n">
        <v>0</v>
      </c>
      <c r="I467" t="n">
        <v>0</v>
      </c>
      <c r="J467" t="n">
        <v>0</v>
      </c>
      <c r="K467" t="n">
        <v>0</v>
      </c>
      <c r="L467" t="n">
        <v>0</v>
      </c>
      <c r="M467">
        <f>F467+G467+H467+K467-I467-J467-L467</f>
        <v/>
      </c>
      <c r="N467" t="inlineStr">
        <is>
          <t>NO APLICA</t>
        </is>
      </c>
      <c r="O467" t="n">
        <v>5</v>
      </c>
      <c r="P467">
        <f>IF(M467&lt;0, "ERROR: SOBREGIRO", IF(M467=0, "SIN EXISTENCIAS", IF(M467&lt;=O467, "STOCK BAJO", "STOCK NORMAL")))</f>
        <v/>
      </c>
    </row>
    <row r="468">
      <c r="A468" t="n">
        <v>9285</v>
      </c>
      <c r="B468" t="inlineStr">
        <is>
          <t>GABINETE 800X600X300 DKC0287</t>
        </is>
      </c>
      <c r="C468" t="inlineStr">
        <is>
          <t>Materiales</t>
        </is>
      </c>
      <c r="D468" t="inlineStr">
        <is>
          <t>Unidad</t>
        </is>
      </c>
      <c r="E468" t="inlineStr">
        <is>
          <t>CDS</t>
        </is>
      </c>
      <c r="F468" t="n">
        <v>0</v>
      </c>
      <c r="G468" t="n">
        <v>0</v>
      </c>
      <c r="H468" t="n">
        <v>0</v>
      </c>
      <c r="I468" t="n">
        <v>0</v>
      </c>
      <c r="J468" t="n">
        <v>0</v>
      </c>
      <c r="K468" t="n">
        <v>0</v>
      </c>
      <c r="L468" t="n">
        <v>0</v>
      </c>
      <c r="M468">
        <f>F468+G468+H468+K468-I468-J468-L468</f>
        <v/>
      </c>
      <c r="N468" t="inlineStr">
        <is>
          <t>NO APLICA</t>
        </is>
      </c>
      <c r="O468" t="n">
        <v>5</v>
      </c>
      <c r="P468">
        <f>IF(M468&lt;0, "ERROR: SOBREGIRO", IF(M468=0, "SIN EXISTENCIAS", IF(M468&lt;=O468, "STOCK BAJO", "STOCK NORMAL")))</f>
        <v/>
      </c>
    </row>
    <row r="469">
      <c r="A469" t="n">
        <v>9327</v>
      </c>
      <c r="B469" t="inlineStr">
        <is>
          <t>ABRAZADERA AJUSTABLE (UNISTRUT) GALVANIZADA CALIENTE 3"</t>
        </is>
      </c>
      <c r="C469" t="inlineStr">
        <is>
          <t>Tornilleria</t>
        </is>
      </c>
      <c r="D469" t="inlineStr">
        <is>
          <t>Unidad</t>
        </is>
      </c>
      <c r="E469" t="inlineStr">
        <is>
          <t>CDS</t>
        </is>
      </c>
      <c r="F469" t="n">
        <v>18</v>
      </c>
      <c r="G469" t="n">
        <v>0</v>
      </c>
      <c r="H469" t="n">
        <v>0</v>
      </c>
      <c r="I469" t="n">
        <v>0</v>
      </c>
      <c r="J469" t="n">
        <v>0</v>
      </c>
      <c r="K469" t="n">
        <v>0</v>
      </c>
      <c r="L469" t="n">
        <v>0</v>
      </c>
      <c r="M469">
        <f>F469+G469+H469+K469-I469-J469-L469</f>
        <v/>
      </c>
      <c r="N469" t="inlineStr">
        <is>
          <t>NO APLICA</t>
        </is>
      </c>
      <c r="O469" t="n">
        <v>5</v>
      </c>
      <c r="P469">
        <f>IF(M469&lt;0, "ERROR: SOBREGIRO", IF(M469=0, "SIN EXISTENCIAS", IF(M469&lt;=O469, "STOCK BAJO", "STOCK NORMAL")))</f>
        <v/>
      </c>
    </row>
    <row r="470">
      <c r="A470" t="n">
        <v>9328</v>
      </c>
      <c r="B470" t="inlineStr">
        <is>
          <t>ABRAZADERA COLGANTE (IMC/CORAZA) PARA EXTERIOR 3"</t>
        </is>
      </c>
      <c r="C470" t="inlineStr">
        <is>
          <t>Tornilleria</t>
        </is>
      </c>
      <c r="D470" t="inlineStr">
        <is>
          <t>Unidad</t>
        </is>
      </c>
      <c r="E470" t="inlineStr">
        <is>
          <t>CDS</t>
        </is>
      </c>
      <c r="F470" t="n">
        <v>1</v>
      </c>
      <c r="G470" t="n">
        <v>0</v>
      </c>
      <c r="H470" t="n">
        <v>0</v>
      </c>
      <c r="I470" t="n">
        <v>0</v>
      </c>
      <c r="J470" t="n">
        <v>0</v>
      </c>
      <c r="K470" t="n">
        <v>0</v>
      </c>
      <c r="L470" t="n">
        <v>0</v>
      </c>
      <c r="M470">
        <f>F470+G470+H470+K470-I470-J470-L470</f>
        <v/>
      </c>
      <c r="N470" t="inlineStr">
        <is>
          <t>NO APLICA</t>
        </is>
      </c>
      <c r="O470" t="n">
        <v>5</v>
      </c>
      <c r="P470">
        <f>IF(M470&lt;0, "ERROR: SOBREGIRO", IF(M470=0, "SIN EXISTENCIAS", IF(M470&lt;=O470, "STOCK BAJO", "STOCK NORMAL")))</f>
        <v/>
      </c>
    </row>
    <row r="471">
      <c r="A471" t="n">
        <v>9334</v>
      </c>
      <c r="B471" t="inlineStr">
        <is>
          <t>ADAPTADOR TERMINAL CAMPANA DUCTO CONDUIT PVC 1 1/2"</t>
        </is>
      </c>
      <c r="C471" t="inlineStr">
        <is>
          <t>Elementos electricos</t>
        </is>
      </c>
      <c r="D471" t="inlineStr">
        <is>
          <t>Unidad</t>
        </is>
      </c>
      <c r="E471" t="inlineStr">
        <is>
          <t>CDS</t>
        </is>
      </c>
      <c r="F471" t="n">
        <v>0</v>
      </c>
      <c r="G471" t="n">
        <v>0</v>
      </c>
      <c r="H471" t="n">
        <v>0</v>
      </c>
      <c r="I471" t="n">
        <v>0</v>
      </c>
      <c r="J471" t="n">
        <v>0</v>
      </c>
      <c r="K471" t="n">
        <v>0</v>
      </c>
      <c r="L471" t="n">
        <v>0</v>
      </c>
      <c r="M471">
        <f>F471+G471+H471+K471-I471-J471-L471</f>
        <v/>
      </c>
      <c r="N471" t="inlineStr">
        <is>
          <t>NO APLICA</t>
        </is>
      </c>
      <c r="O471" t="n">
        <v>5</v>
      </c>
      <c r="P471">
        <f>IF(M471&lt;0, "ERROR: SOBREGIRO", IF(M471=0, "SIN EXISTENCIAS", IF(M471&lt;=O471, "STOCK BAJO", "STOCK NORMAL")))</f>
        <v/>
      </c>
    </row>
    <row r="472">
      <c r="A472" t="n">
        <v>9339</v>
      </c>
      <c r="B472" t="inlineStr">
        <is>
          <t>CONDULETA LB 3" INTERIOR</t>
        </is>
      </c>
      <c r="C472" t="inlineStr">
        <is>
          <t>Materiales</t>
        </is>
      </c>
      <c r="D472" t="inlineStr">
        <is>
          <t>Unidad</t>
        </is>
      </c>
      <c r="E472" t="inlineStr">
        <is>
          <t>CDS</t>
        </is>
      </c>
      <c r="F472" t="n">
        <v>1</v>
      </c>
      <c r="G472" t="n">
        <v>0</v>
      </c>
      <c r="H472" t="n">
        <v>0</v>
      </c>
      <c r="I472" t="n">
        <v>0</v>
      </c>
      <c r="J472" t="n">
        <v>0</v>
      </c>
      <c r="K472" t="n">
        <v>0</v>
      </c>
      <c r="L472" t="n">
        <v>0</v>
      </c>
      <c r="M472">
        <f>F472+G472+H472+K472-I472-J472-L472</f>
        <v/>
      </c>
      <c r="N472" t="inlineStr">
        <is>
          <t>NO APLICA</t>
        </is>
      </c>
      <c r="O472" t="n">
        <v>5</v>
      </c>
      <c r="P472">
        <f>IF(M472&lt;0, "ERROR: SOBREGIRO", IF(M472=0, "SIN EXISTENCIAS", IF(M472&lt;=O472, "STOCK BAJO", "STOCK NORMAL")))</f>
        <v/>
      </c>
    </row>
    <row r="473">
      <c r="A473" t="n">
        <v>9342</v>
      </c>
      <c r="B473" t="inlineStr">
        <is>
          <t>CORAZA AMERICANA 3"</t>
        </is>
      </c>
      <c r="C473" t="inlineStr">
        <is>
          <t>Materiales</t>
        </is>
      </c>
      <c r="D473" t="inlineStr">
        <is>
          <t>Unidad</t>
        </is>
      </c>
      <c r="E473" t="inlineStr">
        <is>
          <t>CDS</t>
        </is>
      </c>
      <c r="F473" t="n">
        <v>0</v>
      </c>
      <c r="G473" t="n">
        <v>0</v>
      </c>
      <c r="H473" t="n">
        <v>0</v>
      </c>
      <c r="I473" t="n">
        <v>0</v>
      </c>
      <c r="J473" t="n">
        <v>0</v>
      </c>
      <c r="K473" t="n">
        <v>0</v>
      </c>
      <c r="L473" t="n">
        <v>0</v>
      </c>
      <c r="M473">
        <f>F473+G473+H473+K473-I473-J473-L473</f>
        <v/>
      </c>
      <c r="N473" t="inlineStr">
        <is>
          <t>NO APLICA</t>
        </is>
      </c>
      <c r="O473" t="n">
        <v>5</v>
      </c>
      <c r="P473">
        <f>IF(M473&lt;0, "ERROR: SOBREGIRO", IF(M473=0, "SIN EXISTENCIAS", IF(M473&lt;=O473, "STOCK BAJO", "STOCK NORMAL")))</f>
        <v/>
      </c>
    </row>
    <row r="474">
      <c r="A474" t="n">
        <v>9343</v>
      </c>
      <c r="B474" t="inlineStr">
        <is>
          <t>CURVA EMT 3"</t>
        </is>
      </c>
      <c r="C474" t="inlineStr">
        <is>
          <t>Materiales</t>
        </is>
      </c>
      <c r="D474" t="inlineStr">
        <is>
          <t>Unidad</t>
        </is>
      </c>
      <c r="E474" t="inlineStr">
        <is>
          <t>CDS</t>
        </is>
      </c>
      <c r="F474" t="n">
        <v>0</v>
      </c>
      <c r="G474" t="n">
        <v>0</v>
      </c>
      <c r="H474" t="n">
        <v>0</v>
      </c>
      <c r="I474" t="n">
        <v>0</v>
      </c>
      <c r="J474" t="n">
        <v>0</v>
      </c>
      <c r="K474" t="n">
        <v>0</v>
      </c>
      <c r="L474" t="n">
        <v>0</v>
      </c>
      <c r="M474">
        <f>F474+G474+H474+K474-I474-J474-L474</f>
        <v/>
      </c>
      <c r="N474" t="inlineStr">
        <is>
          <t>NO APLICA</t>
        </is>
      </c>
      <c r="O474" t="n">
        <v>5</v>
      </c>
      <c r="P474">
        <f>IF(M474&lt;0, "ERROR: SOBREGIRO", IF(M474=0, "SIN EXISTENCIAS", IF(M474&lt;=O474, "STOCK BAJO", "STOCK NORMAL")))</f>
        <v/>
      </c>
    </row>
    <row r="475">
      <c r="A475" t="n">
        <v>9347</v>
      </c>
      <c r="B475" t="inlineStr">
        <is>
          <t>TERMINAL EMT 2 1/2"</t>
        </is>
      </c>
      <c r="C475" t="inlineStr">
        <is>
          <t>Elementos electricos</t>
        </is>
      </c>
      <c r="D475" t="inlineStr">
        <is>
          <t>Unidad</t>
        </is>
      </c>
      <c r="E475" t="inlineStr">
        <is>
          <t>CDS</t>
        </is>
      </c>
      <c r="F475" t="n">
        <v>0</v>
      </c>
      <c r="G475" t="n">
        <v>0</v>
      </c>
      <c r="H475" t="n">
        <v>0</v>
      </c>
      <c r="I475" t="n">
        <v>0</v>
      </c>
      <c r="J475" t="n">
        <v>0</v>
      </c>
      <c r="K475" t="n">
        <v>0</v>
      </c>
      <c r="L475" t="n">
        <v>0</v>
      </c>
      <c r="M475">
        <f>F475+G475+H475+K475-I475-J475-L475</f>
        <v/>
      </c>
      <c r="N475" t="inlineStr">
        <is>
          <t>NO APLICA</t>
        </is>
      </c>
      <c r="O475" t="n">
        <v>5</v>
      </c>
      <c r="P475">
        <f>IF(M475&lt;0, "ERROR: SOBREGIRO", IF(M475=0, "SIN EXISTENCIAS", IF(M475&lt;=O475, "STOCK BAJO", "STOCK NORMAL")))</f>
        <v/>
      </c>
    </row>
    <row r="476">
      <c r="A476" t="n">
        <v>9348</v>
      </c>
      <c r="B476" t="inlineStr">
        <is>
          <t>TERMINAL EMT 3"</t>
        </is>
      </c>
      <c r="C476" t="inlineStr">
        <is>
          <t>Elementos electricos</t>
        </is>
      </c>
      <c r="D476" t="inlineStr">
        <is>
          <t>Unidad</t>
        </is>
      </c>
      <c r="E476" t="inlineStr">
        <is>
          <t>CDS</t>
        </is>
      </c>
      <c r="F476" t="n">
        <v>0</v>
      </c>
      <c r="G476" t="n">
        <v>0</v>
      </c>
      <c r="H476" t="n">
        <v>0</v>
      </c>
      <c r="I476" t="n">
        <v>0</v>
      </c>
      <c r="J476" t="n">
        <v>0</v>
      </c>
      <c r="K476" t="n">
        <v>0</v>
      </c>
      <c r="L476" t="n">
        <v>0</v>
      </c>
      <c r="M476">
        <f>F476+G476+H476+K476-I476-J476-L476</f>
        <v/>
      </c>
      <c r="N476" t="inlineStr">
        <is>
          <t>NO APLICA</t>
        </is>
      </c>
      <c r="O476" t="n">
        <v>5</v>
      </c>
      <c r="P476">
        <f>IF(M476&lt;0, "ERROR: SOBREGIRO", IF(M476=0, "SIN EXISTENCIAS", IF(M476&lt;=O476, "STOCK BAJO", "STOCK NORMAL")))</f>
        <v/>
      </c>
    </row>
    <row r="477">
      <c r="A477" t="n">
        <v>9349</v>
      </c>
      <c r="B477" t="inlineStr">
        <is>
          <t>TERMINAL IMC 1/2"</t>
        </is>
      </c>
      <c r="C477" t="inlineStr">
        <is>
          <t>Elementos electricos</t>
        </is>
      </c>
      <c r="D477" t="inlineStr">
        <is>
          <t>Unidad</t>
        </is>
      </c>
      <c r="E477" t="inlineStr">
        <is>
          <t>CDS</t>
        </is>
      </c>
      <c r="F477" t="n">
        <v>0</v>
      </c>
      <c r="G477" t="n">
        <v>0</v>
      </c>
      <c r="H477" t="n">
        <v>0</v>
      </c>
      <c r="I477" t="n">
        <v>0</v>
      </c>
      <c r="J477" t="n">
        <v>0</v>
      </c>
      <c r="K477" t="n">
        <v>0</v>
      </c>
      <c r="L477" t="n">
        <v>0</v>
      </c>
      <c r="M477">
        <f>F477+G477+H477+K477-I477-J477-L477</f>
        <v/>
      </c>
      <c r="N477" t="inlineStr">
        <is>
          <t>NO APLICA</t>
        </is>
      </c>
      <c r="O477" t="n">
        <v>5</v>
      </c>
      <c r="P477">
        <f>IF(M477&lt;0, "ERROR: SOBREGIRO", IF(M477=0, "SIN EXISTENCIAS", IF(M477&lt;=O477, "STOCK BAJO", "STOCK NORMAL")))</f>
        <v/>
      </c>
    </row>
    <row r="478">
      <c r="A478" t="n">
        <v>9350</v>
      </c>
      <c r="B478" t="inlineStr">
        <is>
          <t>TERMINAL IMC 2"</t>
        </is>
      </c>
      <c r="C478" t="inlineStr">
        <is>
          <t>Elementos electricos</t>
        </is>
      </c>
      <c r="D478" t="inlineStr">
        <is>
          <t>Unidad</t>
        </is>
      </c>
      <c r="E478" t="inlineStr">
        <is>
          <t>CDS</t>
        </is>
      </c>
      <c r="F478" t="n">
        <v>0</v>
      </c>
      <c r="G478" t="n">
        <v>0</v>
      </c>
      <c r="H478" t="n">
        <v>0</v>
      </c>
      <c r="I478" t="n">
        <v>0</v>
      </c>
      <c r="J478" t="n">
        <v>0</v>
      </c>
      <c r="K478" t="n">
        <v>0</v>
      </c>
      <c r="L478" t="n">
        <v>0</v>
      </c>
      <c r="M478">
        <f>F478+G478+H478+K478-I478-J478-L478</f>
        <v/>
      </c>
      <c r="N478" t="inlineStr">
        <is>
          <t>NO APLICA</t>
        </is>
      </c>
      <c r="O478" t="n">
        <v>5</v>
      </c>
      <c r="P478">
        <f>IF(M478&lt;0, "ERROR: SOBREGIRO", IF(M478=0, "SIN EXISTENCIAS", IF(M478&lt;=O478, "STOCK BAJO", "STOCK NORMAL")))</f>
        <v/>
      </c>
    </row>
    <row r="479">
      <c r="A479" t="n">
        <v>9351</v>
      </c>
      <c r="B479" t="inlineStr">
        <is>
          <t>TERMINAL IMC 3/4"</t>
        </is>
      </c>
      <c r="C479" t="inlineStr">
        <is>
          <t>Elementos electricos</t>
        </is>
      </c>
      <c r="D479" t="inlineStr">
        <is>
          <t>Unidad</t>
        </is>
      </c>
      <c r="E479" t="inlineStr">
        <is>
          <t>CDS</t>
        </is>
      </c>
      <c r="F479" t="n">
        <v>0</v>
      </c>
      <c r="G479" t="n">
        <v>0</v>
      </c>
      <c r="H479" t="n">
        <v>0</v>
      </c>
      <c r="I479" t="n">
        <v>0</v>
      </c>
      <c r="J479" t="n">
        <v>0</v>
      </c>
      <c r="K479" t="n">
        <v>0</v>
      </c>
      <c r="L479" t="n">
        <v>0</v>
      </c>
      <c r="M479">
        <f>F479+G479+H479+K479-I479-J479-L479</f>
        <v/>
      </c>
      <c r="N479" t="inlineStr">
        <is>
          <t>NO APLICA</t>
        </is>
      </c>
      <c r="O479" t="n">
        <v>5</v>
      </c>
      <c r="P479">
        <f>IF(M479&lt;0, "ERROR: SOBREGIRO", IF(M479=0, "SIN EXISTENCIAS", IF(M479&lt;=O479, "STOCK BAJO", "STOCK NORMAL")))</f>
        <v/>
      </c>
    </row>
    <row r="480">
      <c r="A480" t="n">
        <v>9361</v>
      </c>
      <c r="B480" t="inlineStr">
        <is>
          <t>UNION PVC 1"</t>
        </is>
      </c>
      <c r="C480" t="inlineStr">
        <is>
          <t>Materiales</t>
        </is>
      </c>
      <c r="D480" t="inlineStr">
        <is>
          <t>Unidad</t>
        </is>
      </c>
      <c r="E480" t="inlineStr">
        <is>
          <t>CDS</t>
        </is>
      </c>
      <c r="F480" t="n">
        <v>0</v>
      </c>
      <c r="G480" t="n">
        <v>0</v>
      </c>
      <c r="H480" t="n">
        <v>0</v>
      </c>
      <c r="I480" t="n">
        <v>0</v>
      </c>
      <c r="J480" t="n">
        <v>0</v>
      </c>
      <c r="K480" t="n">
        <v>0</v>
      </c>
      <c r="L480" t="n">
        <v>0</v>
      </c>
      <c r="M480">
        <f>F480+G480+H480+K480-I480-J480-L480</f>
        <v/>
      </c>
      <c r="N480" t="inlineStr">
        <is>
          <t>NO APLICA</t>
        </is>
      </c>
      <c r="O480" t="n">
        <v>5</v>
      </c>
      <c r="P480">
        <f>IF(M480&lt;0, "ERROR: SOBREGIRO", IF(M480=0, "SIN EXISTENCIAS", IF(M480&lt;=O480, "STOCK BAJO", "STOCK NORMAL")))</f>
        <v/>
      </c>
    </row>
    <row r="481">
      <c r="A481" t="n">
        <v>9365</v>
      </c>
      <c r="B481" t="inlineStr">
        <is>
          <t>UNION PVC 3/4"</t>
        </is>
      </c>
      <c r="C481" t="inlineStr">
        <is>
          <t>Materiales</t>
        </is>
      </c>
      <c r="D481" t="inlineStr">
        <is>
          <t>Unidad</t>
        </is>
      </c>
      <c r="E481" t="inlineStr">
        <is>
          <t>CDS</t>
        </is>
      </c>
      <c r="F481" t="n">
        <v>0</v>
      </c>
      <c r="G481" t="n">
        <v>0</v>
      </c>
      <c r="H481" t="n">
        <v>0</v>
      </c>
      <c r="I481" t="n">
        <v>0</v>
      </c>
      <c r="J481" t="n">
        <v>0</v>
      </c>
      <c r="K481" t="n">
        <v>0</v>
      </c>
      <c r="L481" t="n">
        <v>0</v>
      </c>
      <c r="M481">
        <f>F481+G481+H481+K481-I481-J481-L481</f>
        <v/>
      </c>
      <c r="N481" t="inlineStr">
        <is>
          <t>NO APLICA</t>
        </is>
      </c>
      <c r="O481" t="n">
        <v>5</v>
      </c>
      <c r="P481">
        <f>IF(M481&lt;0, "ERROR: SOBREGIRO", IF(M481=0, "SIN EXISTENCIAS", IF(M481&lt;=O481, "STOCK BAJO", "STOCK NORMAL")))</f>
        <v/>
      </c>
    </row>
    <row r="482">
      <c r="A482" t="n">
        <v>9388</v>
      </c>
      <c r="B482" t="inlineStr">
        <is>
          <t>INTERRUPTOR TERMOMAGNETICO INDUSTRIAL TRIPOLAR  175A (50KA)</t>
        </is>
      </c>
      <c r="C482" t="inlineStr">
        <is>
          <t>Elementos electricos</t>
        </is>
      </c>
      <c r="D482" t="inlineStr">
        <is>
          <t>Unidad</t>
        </is>
      </c>
      <c r="E482" t="inlineStr">
        <is>
          <t>CDS</t>
        </is>
      </c>
      <c r="F482" t="n">
        <v>0</v>
      </c>
      <c r="G482" t="n">
        <v>0</v>
      </c>
      <c r="H482" t="n">
        <v>0</v>
      </c>
      <c r="I482" t="n">
        <v>0</v>
      </c>
      <c r="J482" t="n">
        <v>0</v>
      </c>
      <c r="K482" t="n">
        <v>0</v>
      </c>
      <c r="L482" t="n">
        <v>0</v>
      </c>
      <c r="M482">
        <f>F482+G482+H482+K482-I482-J482-L482</f>
        <v/>
      </c>
      <c r="N482" t="inlineStr">
        <is>
          <t>NO APLICA</t>
        </is>
      </c>
      <c r="O482" t="n">
        <v>5</v>
      </c>
      <c r="P482">
        <f>IF(M482&lt;0, "ERROR: SOBREGIRO", IF(M482=0, "SIN EXISTENCIAS", IF(M482&lt;=O482, "STOCK BAJO", "STOCK NORMAL")))</f>
        <v/>
      </c>
    </row>
    <row r="483">
      <c r="A483" t="n">
        <v>9680</v>
      </c>
      <c r="B483" t="inlineStr">
        <is>
          <t>TERMINAL IMC 1"</t>
        </is>
      </c>
      <c r="C483" t="inlineStr">
        <is>
          <t>Elementos electricos</t>
        </is>
      </c>
      <c r="D483" t="inlineStr">
        <is>
          <t>Unidad</t>
        </is>
      </c>
      <c r="E483" t="inlineStr">
        <is>
          <t>CDS</t>
        </is>
      </c>
      <c r="F483" t="n">
        <v>0</v>
      </c>
      <c r="G483" t="n">
        <v>0</v>
      </c>
      <c r="H483" t="n">
        <v>0</v>
      </c>
      <c r="I483" t="n">
        <v>0</v>
      </c>
      <c r="J483" t="n">
        <v>0</v>
      </c>
      <c r="K483" t="n">
        <v>0</v>
      </c>
      <c r="L483" t="n">
        <v>0</v>
      </c>
      <c r="M483">
        <f>F483+G483+H483+K483-I483-J483-L483</f>
        <v/>
      </c>
      <c r="N483" t="inlineStr">
        <is>
          <t>NO APLICA</t>
        </is>
      </c>
      <c r="O483" t="n">
        <v>5</v>
      </c>
      <c r="P483">
        <f>IF(M483&lt;0, "ERROR: SOBREGIRO", IF(M483=0, "SIN EXISTENCIAS", IF(M483&lt;=O483, "STOCK BAJO", "STOCK NORMAL")))</f>
        <v/>
      </c>
    </row>
    <row r="484">
      <c r="A484" t="n">
        <v>9884</v>
      </c>
      <c r="B484" t="inlineStr">
        <is>
          <t>BASE SOPORTE PLASTICO CONDUCTOR DEHMSNAP D40MM ART 297025</t>
        </is>
      </c>
      <c r="C484" t="inlineStr">
        <is>
          <t>Materiales</t>
        </is>
      </c>
      <c r="D484" t="inlineStr">
        <is>
          <t>Unidad</t>
        </is>
      </c>
      <c r="E484" t="inlineStr">
        <is>
          <t>CDS</t>
        </is>
      </c>
      <c r="F484" t="n">
        <v>0</v>
      </c>
      <c r="G484" t="n">
        <v>0</v>
      </c>
      <c r="H484" t="n">
        <v>0</v>
      </c>
      <c r="I484" t="n">
        <v>0</v>
      </c>
      <c r="J484" t="n">
        <v>0</v>
      </c>
      <c r="K484" t="n">
        <v>0</v>
      </c>
      <c r="L484" t="n">
        <v>0</v>
      </c>
      <c r="M484">
        <f>F484+G484+H484+K484-I484-J484-L484</f>
        <v/>
      </c>
      <c r="N484" t="inlineStr">
        <is>
          <t>NO APLICA</t>
        </is>
      </c>
      <c r="O484" t="n">
        <v>5</v>
      </c>
      <c r="P484">
        <f>IF(M484&lt;0, "ERROR: SOBREGIRO", IF(M484=0, "SIN EXISTENCIAS", IF(M484&lt;=O484, "STOCK BAJO", "STOCK NORMAL")))</f>
        <v/>
      </c>
    </row>
    <row r="485">
      <c r="A485" t="n">
        <v>9886</v>
      </c>
      <c r="B485" t="inlineStr">
        <is>
          <t>CONECTOR VARIABLE BIMETALICO RD8-10-DEHM REF.MVK8.10CU AL ART 390657</t>
        </is>
      </c>
      <c r="C485" t="inlineStr">
        <is>
          <t>Materiales</t>
        </is>
      </c>
      <c r="D485" t="inlineStr">
        <is>
          <t>Unidad</t>
        </is>
      </c>
      <c r="E485" t="inlineStr">
        <is>
          <t>CDS</t>
        </is>
      </c>
      <c r="F485" t="n">
        <v>0</v>
      </c>
      <c r="G485" t="n">
        <v>0</v>
      </c>
      <c r="H485" t="n">
        <v>0</v>
      </c>
      <c r="I485" t="n">
        <v>0</v>
      </c>
      <c r="J485" t="n">
        <v>0</v>
      </c>
      <c r="K485" t="n">
        <v>0</v>
      </c>
      <c r="L485" t="n">
        <v>0</v>
      </c>
      <c r="M485">
        <f>F485+G485+H485+K485-I485-J485-L485</f>
        <v/>
      </c>
      <c r="N485" t="inlineStr">
        <is>
          <t>NO APLICA</t>
        </is>
      </c>
      <c r="O485" t="n">
        <v>5</v>
      </c>
      <c r="P485">
        <f>IF(M485&lt;0, "ERROR: SOBREGIRO", IF(M485=0, "SIN EXISTENCIAS", IF(M485&lt;=O485, "STOCK BAJO", "STOCK NORMAL")))</f>
        <v/>
      </c>
    </row>
    <row r="486">
      <c r="A486" t="n">
        <v>9887</v>
      </c>
      <c r="B486" t="inlineStr">
        <is>
          <t>CONECTOR VARIABLE UNIVERSAL ALUMINIO RD 2X8-10MM ART 390061</t>
        </is>
      </c>
      <c r="C486" t="inlineStr">
        <is>
          <t>Materiales</t>
        </is>
      </c>
      <c r="D486" t="inlineStr">
        <is>
          <t>Unidad</t>
        </is>
      </c>
      <c r="E486" t="inlineStr">
        <is>
          <t>CDS</t>
        </is>
      </c>
      <c r="F486" t="n">
        <v>0</v>
      </c>
      <c r="G486" t="n">
        <v>0</v>
      </c>
      <c r="H486" t="n">
        <v>0</v>
      </c>
      <c r="I486" t="n">
        <v>0</v>
      </c>
      <c r="J486" t="n">
        <v>0</v>
      </c>
      <c r="K486" t="n">
        <v>0</v>
      </c>
      <c r="L486" t="n">
        <v>0</v>
      </c>
      <c r="M486">
        <f>F486+G486+H486+K486-I486-J486-L486</f>
        <v/>
      </c>
      <c r="N486" t="inlineStr">
        <is>
          <t>NO APLICA</t>
        </is>
      </c>
      <c r="O486" t="n">
        <v>5</v>
      </c>
      <c r="P486">
        <f>IF(M486&lt;0, "ERROR: SOBREGIRO", IF(M486=0, "SIN EXISTENCIAS", IF(M486&lt;=O486, "STOCK BAJO", "STOCK NORMAL")))</f>
        <v/>
      </c>
    </row>
    <row r="487">
      <c r="A487" t="n">
        <v>9893</v>
      </c>
      <c r="B487" t="inlineStr">
        <is>
          <t>SOPORTE PLASTICO CONDUCTOR DEHMSNAP RD 8MM H36MM ROSCA M8 ART204004</t>
        </is>
      </c>
      <c r="C487" t="inlineStr">
        <is>
          <t>Materiales</t>
        </is>
      </c>
      <c r="D487" t="inlineStr">
        <is>
          <t>Unidad</t>
        </is>
      </c>
      <c r="E487" t="inlineStr">
        <is>
          <t>CDS</t>
        </is>
      </c>
      <c r="F487" t="n">
        <v>0</v>
      </c>
      <c r="G487" t="n">
        <v>0</v>
      </c>
      <c r="H487" t="n">
        <v>0</v>
      </c>
      <c r="I487" t="n">
        <v>0</v>
      </c>
      <c r="J487" t="n">
        <v>0</v>
      </c>
      <c r="K487" t="n">
        <v>0</v>
      </c>
      <c r="L487" t="n">
        <v>0</v>
      </c>
      <c r="M487">
        <f>F487+G487+H487+K487-I487-J487-L487</f>
        <v/>
      </c>
      <c r="N487" t="inlineStr">
        <is>
          <t>NO APLICA</t>
        </is>
      </c>
      <c r="O487" t="n">
        <v>5</v>
      </c>
      <c r="P487">
        <f>IF(M487&lt;0, "ERROR: SOBREGIRO", IF(M487=0, "SIN EXISTENCIAS", IF(M487&lt;=O487, "STOCK BAJO", "STOCK NORMAL")))</f>
        <v/>
      </c>
    </row>
    <row r="488">
      <c r="A488" t="n">
        <v>10087</v>
      </c>
      <c r="B488" t="inlineStr">
        <is>
          <t>TABLERO DE DISTRIBUCIÓN RESIDENCIAL SOBREPONER IP41 4 MÓDULOS DIN</t>
        </is>
      </c>
      <c r="C488" t="inlineStr">
        <is>
          <t>Materiales</t>
        </is>
      </c>
      <c r="D488" t="inlineStr">
        <is>
          <t>Unidad</t>
        </is>
      </c>
      <c r="E488" t="inlineStr">
        <is>
          <t>CDS</t>
        </is>
      </c>
      <c r="F488" t="n">
        <v>1</v>
      </c>
      <c r="G488" t="n">
        <v>0</v>
      </c>
      <c r="H488" t="n">
        <v>0</v>
      </c>
      <c r="I488" t="n">
        <v>0</v>
      </c>
      <c r="J488" t="n">
        <v>0</v>
      </c>
      <c r="K488" t="n">
        <v>0</v>
      </c>
      <c r="L488" t="n">
        <v>0</v>
      </c>
      <c r="M488">
        <f>F488+G488+H488+K488-I488-J488-L488</f>
        <v/>
      </c>
      <c r="N488" t="inlineStr">
        <is>
          <t>NO APLICA</t>
        </is>
      </c>
      <c r="O488" t="n">
        <v>5</v>
      </c>
      <c r="P488">
        <f>IF(M488&lt;0, "ERROR: SOBREGIRO", IF(M488=0, "SIN EXISTENCIAS", IF(M488&lt;=O488, "STOCK BAJO", "STOCK NORMAL")))</f>
        <v/>
      </c>
    </row>
    <row r="489">
      <c r="A489" t="n">
        <v>10696</v>
      </c>
      <c r="B489" t="inlineStr">
        <is>
          <t>TORNILLO TROPICALIZADO GRADO 8 5/16" X 1 1/2"</t>
        </is>
      </c>
      <c r="C489" t="inlineStr">
        <is>
          <t>Tornilleria</t>
        </is>
      </c>
      <c r="D489" t="inlineStr">
        <is>
          <t>Unidad</t>
        </is>
      </c>
      <c r="E489" t="inlineStr">
        <is>
          <t>CDS</t>
        </is>
      </c>
      <c r="F489" t="n">
        <v>0</v>
      </c>
      <c r="G489" t="n">
        <v>0</v>
      </c>
      <c r="H489" t="n">
        <v>0</v>
      </c>
      <c r="I489" t="n">
        <v>0</v>
      </c>
      <c r="J489" t="n">
        <v>0</v>
      </c>
      <c r="K489" t="n">
        <v>0</v>
      </c>
      <c r="L489" t="n">
        <v>0</v>
      </c>
      <c r="M489">
        <f>F489+G489+H489+K489-I489-J489-L489</f>
        <v/>
      </c>
      <c r="N489" t="inlineStr">
        <is>
          <t>NO APLICA</t>
        </is>
      </c>
      <c r="O489" t="n">
        <v>5</v>
      </c>
      <c r="P489">
        <f>IF(M489&lt;0, "ERROR: SOBREGIRO", IF(M489=0, "SIN EXISTENCIAS", IF(M489&lt;=O489, "STOCK BAJO", "STOCK NORMAL")))</f>
        <v/>
      </c>
    </row>
    <row r="490">
      <c r="A490" t="n">
        <v>10697</v>
      </c>
      <c r="B490" t="inlineStr">
        <is>
          <t>CONECTOR CORAZA RECTO 4"</t>
        </is>
      </c>
      <c r="C490" t="inlineStr">
        <is>
          <t>Materiales</t>
        </is>
      </c>
      <c r="D490" t="inlineStr">
        <is>
          <t>Unidad</t>
        </is>
      </c>
      <c r="E490" t="inlineStr">
        <is>
          <t>CDS</t>
        </is>
      </c>
      <c r="F490" t="n">
        <v>0</v>
      </c>
      <c r="G490" t="n">
        <v>0</v>
      </c>
      <c r="H490" t="n">
        <v>0</v>
      </c>
      <c r="I490" t="n">
        <v>0</v>
      </c>
      <c r="J490" t="n">
        <v>0</v>
      </c>
      <c r="K490" t="n">
        <v>0</v>
      </c>
      <c r="L490" t="n">
        <v>0</v>
      </c>
      <c r="M490">
        <f>F490+G490+H490+K490-I490-J490-L490</f>
        <v/>
      </c>
      <c r="N490" t="inlineStr">
        <is>
          <t>NO APLICA</t>
        </is>
      </c>
      <c r="O490" t="n">
        <v>5</v>
      </c>
      <c r="P490">
        <f>IF(M490&lt;0, "ERROR: SOBREGIRO", IF(M490=0, "SIN EXISTENCIAS", IF(M490&lt;=O490, "STOCK BAJO", "STOCK NORMAL")))</f>
        <v/>
      </c>
    </row>
    <row r="491">
      <c r="A491" t="n">
        <v>12084</v>
      </c>
      <c r="B491" t="inlineStr">
        <is>
          <t>CAJA DE PASO PLASTICA 114X114X107MM KOWET</t>
        </is>
      </c>
      <c r="C491" t="inlineStr">
        <is>
          <t>Materiales</t>
        </is>
      </c>
      <c r="D491" t="inlineStr">
        <is>
          <t>Caja</t>
        </is>
      </c>
      <c r="E491" t="inlineStr">
        <is>
          <t>CDS</t>
        </is>
      </c>
      <c r="F491" t="n">
        <v>0</v>
      </c>
      <c r="G491" t="n">
        <v>0</v>
      </c>
      <c r="H491" t="n">
        <v>0</v>
      </c>
      <c r="I491" t="n">
        <v>0</v>
      </c>
      <c r="J491" t="n">
        <v>0</v>
      </c>
      <c r="K491" t="n">
        <v>0</v>
      </c>
      <c r="L491" t="n">
        <v>0</v>
      </c>
      <c r="M491">
        <f>F491+G491+H491+K491-I491-J491-L491</f>
        <v/>
      </c>
      <c r="N491" t="inlineStr">
        <is>
          <t>NO APLICA</t>
        </is>
      </c>
      <c r="O491" t="n">
        <v>5</v>
      </c>
      <c r="P491">
        <f>IF(M491&lt;0, "ERROR: SOBREGIRO", IF(M491=0, "SIN EXISTENCIAS", IF(M491&lt;=O491, "STOCK BAJO", "STOCK NORMAL")))</f>
        <v/>
      </c>
    </row>
    <row r="492">
      <c r="A492" t="n">
        <v>14216</v>
      </c>
      <c r="B492" t="inlineStr">
        <is>
          <t>CURVA BANDEJA VERTICAL INTERIOR 90° 50X8.</t>
        </is>
      </c>
      <c r="C492" t="inlineStr">
        <is>
          <t>Materiales</t>
        </is>
      </c>
      <c r="D492" t="inlineStr">
        <is>
          <t>Unidad</t>
        </is>
      </c>
      <c r="E492" t="inlineStr">
        <is>
          <t>CDS</t>
        </is>
      </c>
      <c r="F492" t="n">
        <v>0</v>
      </c>
      <c r="G492" t="n">
        <v>0</v>
      </c>
      <c r="H492" t="n">
        <v>0</v>
      </c>
      <c r="I492" t="n">
        <v>0</v>
      </c>
      <c r="J492" t="n">
        <v>0</v>
      </c>
      <c r="K492" t="n">
        <v>0</v>
      </c>
      <c r="L492" t="n">
        <v>0</v>
      </c>
      <c r="M492">
        <f>F492+G492+H492+K492-I492-J492-L492</f>
        <v/>
      </c>
      <c r="N492" t="inlineStr">
        <is>
          <t>NO APLICA</t>
        </is>
      </c>
      <c r="O492" t="n">
        <v>5</v>
      </c>
      <c r="P492">
        <f>IF(M492&lt;0, "ERROR: SOBREGIRO", IF(M492=0, "SIN EXISTENCIAS", IF(M492&lt;=O492, "STOCK BAJO", "STOCK NORMAL")))</f>
        <v/>
      </c>
    </row>
    <row r="493">
      <c r="A493" t="n">
        <v>14515</v>
      </c>
      <c r="B493" t="inlineStr">
        <is>
          <t>DISCO DE CORTE PARA TRONZADORA 14"</t>
        </is>
      </c>
      <c r="C493" t="inlineStr">
        <is>
          <t>Consumibles</t>
        </is>
      </c>
      <c r="D493" t="inlineStr">
        <is>
          <t>Unidad</t>
        </is>
      </c>
      <c r="E493" t="inlineStr">
        <is>
          <t>CDS</t>
        </is>
      </c>
      <c r="F493" t="n">
        <v>0</v>
      </c>
      <c r="G493" t="n">
        <v>0</v>
      </c>
      <c r="H493" t="n">
        <v>0</v>
      </c>
      <c r="I493" t="n">
        <v>0</v>
      </c>
      <c r="J493" t="n">
        <v>0</v>
      </c>
      <c r="K493" t="n">
        <v>0</v>
      </c>
      <c r="L493" t="n">
        <v>0</v>
      </c>
      <c r="M493">
        <f>F493+G493+H493+K493-I493-J493-L493</f>
        <v/>
      </c>
      <c r="N493" t="inlineStr">
        <is>
          <t>NO APLICA</t>
        </is>
      </c>
      <c r="O493" t="n">
        <v>5</v>
      </c>
      <c r="P493">
        <f>IF(M493&lt;0, "ERROR: SOBREGIRO", IF(M493=0, "SIN EXISTENCIAS", IF(M493&lt;=O493, "STOCK BAJO", "STOCK NORMAL")))</f>
        <v/>
      </c>
    </row>
    <row r="494">
      <c r="A494" t="n">
        <v>14718</v>
      </c>
      <c r="B494" t="inlineStr">
        <is>
          <t>PUNTA PHILLIPS ESTRIA</t>
        </is>
      </c>
      <c r="C494" t="inlineStr">
        <is>
          <t>Materiales</t>
        </is>
      </c>
      <c r="D494" t="inlineStr">
        <is>
          <t>Unidad</t>
        </is>
      </c>
      <c r="E494" t="inlineStr">
        <is>
          <t>CDS</t>
        </is>
      </c>
      <c r="F494" t="n">
        <v>0</v>
      </c>
      <c r="G494" t="n">
        <v>0</v>
      </c>
      <c r="H494" t="n">
        <v>0</v>
      </c>
      <c r="I494" t="n">
        <v>0</v>
      </c>
      <c r="J494" t="n">
        <v>0</v>
      </c>
      <c r="K494" t="n">
        <v>0</v>
      </c>
      <c r="L494" t="n">
        <v>0</v>
      </c>
      <c r="M494">
        <f>F494+G494+H494+K494-I494-J494-L494</f>
        <v/>
      </c>
      <c r="N494" t="inlineStr">
        <is>
          <t>NO APLICA</t>
        </is>
      </c>
      <c r="O494" t="n">
        <v>5</v>
      </c>
      <c r="P494">
        <f>IF(M494&lt;0, "ERROR: SOBREGIRO", IF(M494=0, "SIN EXISTENCIAS", IF(M494&lt;=O494, "STOCK BAJO", "STOCK NORMAL")))</f>
        <v/>
      </c>
    </row>
    <row r="495">
      <c r="A495" t="n">
        <v>14838</v>
      </c>
      <c r="B495" t="inlineStr">
        <is>
          <t>CHAZO MARIPOSA PLASTICO BEIGE 3/8"</t>
        </is>
      </c>
      <c r="C495" t="inlineStr">
        <is>
          <t>Tornilleria</t>
        </is>
      </c>
      <c r="D495" t="inlineStr">
        <is>
          <t>Unidad</t>
        </is>
      </c>
      <c r="E495" t="inlineStr">
        <is>
          <t>CDS</t>
        </is>
      </c>
      <c r="F495" t="n">
        <v>0</v>
      </c>
      <c r="G495" t="n">
        <v>0</v>
      </c>
      <c r="H495" t="n">
        <v>0</v>
      </c>
      <c r="I495" t="n">
        <v>0</v>
      </c>
      <c r="J495" t="n">
        <v>0</v>
      </c>
      <c r="K495" t="n">
        <v>0</v>
      </c>
      <c r="L495" t="n">
        <v>0</v>
      </c>
      <c r="M495">
        <f>F495+G495+H495+K495-I495-J495-L495</f>
        <v/>
      </c>
      <c r="N495" t="inlineStr">
        <is>
          <t>NO APLICA</t>
        </is>
      </c>
      <c r="O495" t="n">
        <v>5</v>
      </c>
      <c r="P495">
        <f>IF(M495&lt;0, "ERROR: SOBREGIRO", IF(M495=0, "SIN EXISTENCIAS", IF(M495&lt;=O495, "STOCK BAJO", "STOCK NORMAL")))</f>
        <v/>
      </c>
    </row>
    <row r="496">
      <c r="A496" t="n">
        <v>14841</v>
      </c>
      <c r="B496" t="inlineStr">
        <is>
          <t>DPS TIPO 2 - 2P DS40-120 CITEL</t>
        </is>
      </c>
      <c r="C496" t="inlineStr">
        <is>
          <t>Materiales</t>
        </is>
      </c>
      <c r="D496" t="inlineStr">
        <is>
          <t>Unidad</t>
        </is>
      </c>
      <c r="E496" t="inlineStr">
        <is>
          <t>CDS</t>
        </is>
      </c>
      <c r="F496" t="n">
        <v>0</v>
      </c>
      <c r="G496" t="n">
        <v>0</v>
      </c>
      <c r="H496" t="n">
        <v>0</v>
      </c>
      <c r="I496" t="n">
        <v>0</v>
      </c>
      <c r="J496" t="n">
        <v>0</v>
      </c>
      <c r="K496" t="n">
        <v>0</v>
      </c>
      <c r="L496" t="n">
        <v>0</v>
      </c>
      <c r="M496">
        <f>F496+G496+H496+K496-I496-J496-L496</f>
        <v/>
      </c>
      <c r="N496" t="inlineStr">
        <is>
          <t>NO APLICA</t>
        </is>
      </c>
      <c r="O496" t="n">
        <v>5</v>
      </c>
      <c r="P496">
        <f>IF(M496&lt;0, "ERROR: SOBREGIRO", IF(M496=0, "SIN EXISTENCIAS", IF(M496&lt;=O496, "STOCK BAJO", "STOCK NORMAL")))</f>
        <v/>
      </c>
    </row>
    <row r="497">
      <c r="A497" t="n">
        <v>14842</v>
      </c>
      <c r="B497" t="inlineStr">
        <is>
          <t>MEDIDOR BIFASICO TRIFILAR D2000 2X120/208V 2X5(100)A EMSI  D2000</t>
        </is>
      </c>
      <c r="C497" t="inlineStr">
        <is>
          <t>Materiales</t>
        </is>
      </c>
      <c r="D497" t="inlineStr">
        <is>
          <t>Unidad</t>
        </is>
      </c>
      <c r="E497" t="inlineStr">
        <is>
          <t>CDS</t>
        </is>
      </c>
      <c r="F497" t="n">
        <v>0</v>
      </c>
      <c r="G497" t="n">
        <v>0</v>
      </c>
      <c r="H497" t="n">
        <v>0</v>
      </c>
      <c r="I497" t="n">
        <v>0</v>
      </c>
      <c r="J497" t="n">
        <v>0</v>
      </c>
      <c r="K497" t="n">
        <v>0</v>
      </c>
      <c r="L497" t="n">
        <v>0</v>
      </c>
      <c r="M497">
        <f>F497+G497+H497+K497-I497-J497-L497</f>
        <v/>
      </c>
      <c r="N497" t="inlineStr">
        <is>
          <t>NO APLICA</t>
        </is>
      </c>
      <c r="O497" t="n">
        <v>5</v>
      </c>
      <c r="P497">
        <f>IF(M497&lt;0, "ERROR: SOBREGIRO", IF(M497=0, "SIN EXISTENCIAS", IF(M497&lt;=O497, "STOCK BAJO", "STOCK NORMAL")))</f>
        <v/>
      </c>
    </row>
    <row r="498">
      <c r="A498" t="n">
        <v>14859</v>
      </c>
      <c r="B498" t="inlineStr">
        <is>
          <t>TORNILLO AUTOPERFORANTE HEXAGONAL PUNTA BROCA 12-14 X 1/4"</t>
        </is>
      </c>
      <c r="C498" t="inlineStr">
        <is>
          <t>Tornilleria</t>
        </is>
      </c>
      <c r="D498" t="inlineStr">
        <is>
          <t>Unidad</t>
        </is>
      </c>
      <c r="E498" t="inlineStr">
        <is>
          <t>CDS</t>
        </is>
      </c>
      <c r="F498" t="n">
        <v>0</v>
      </c>
      <c r="G498" t="n">
        <v>0</v>
      </c>
      <c r="H498" t="n">
        <v>0</v>
      </c>
      <c r="I498" t="n">
        <v>0</v>
      </c>
      <c r="J498" t="n">
        <v>0</v>
      </c>
      <c r="K498" t="n">
        <v>0</v>
      </c>
      <c r="L498" t="n">
        <v>0</v>
      </c>
      <c r="M498">
        <f>F498+G498+H498+K498-I498-J498-L498</f>
        <v/>
      </c>
      <c r="N498" t="inlineStr">
        <is>
          <t>NO APLICA</t>
        </is>
      </c>
      <c r="O498" t="n">
        <v>5</v>
      </c>
      <c r="P498">
        <f>IF(M498&lt;0, "ERROR: SOBREGIRO", IF(M498=0, "SIN EXISTENCIAS", IF(M498&lt;=O498, "STOCK BAJO", "STOCK NORMAL")))</f>
        <v/>
      </c>
    </row>
    <row r="499">
      <c r="A499" t="n">
        <v>14860</v>
      </c>
      <c r="B499" t="inlineStr">
        <is>
          <t>TORNILLO AUTOPERFORANTE HEXAGONAL PUNTA BROCA 12-14 X 2"</t>
        </is>
      </c>
      <c r="C499" t="inlineStr">
        <is>
          <t>Tornilleria</t>
        </is>
      </c>
      <c r="D499" t="inlineStr">
        <is>
          <t>Unidad</t>
        </is>
      </c>
      <c r="E499" t="inlineStr">
        <is>
          <t>CDS</t>
        </is>
      </c>
      <c r="F499" t="n">
        <v>0</v>
      </c>
      <c r="G499" t="n">
        <v>0</v>
      </c>
      <c r="H499" t="n">
        <v>0</v>
      </c>
      <c r="I499" t="n">
        <v>0</v>
      </c>
      <c r="J499" t="n">
        <v>0</v>
      </c>
      <c r="K499" t="n">
        <v>0</v>
      </c>
      <c r="L499" t="n">
        <v>0</v>
      </c>
      <c r="M499">
        <f>F499+G499+H499+K499-I499-J499-L499</f>
        <v/>
      </c>
      <c r="N499" t="inlineStr">
        <is>
          <t>NO APLICA</t>
        </is>
      </c>
      <c r="O499" t="n">
        <v>5</v>
      </c>
      <c r="P499">
        <f>IF(M499&lt;0, "ERROR: SOBREGIRO", IF(M499=0, "SIN EXISTENCIAS", IF(M499&lt;=O499, "STOCK BAJO", "STOCK NORMAL")))</f>
        <v/>
      </c>
    </row>
    <row r="500">
      <c r="A500" t="n">
        <v>14861</v>
      </c>
      <c r="B500" t="inlineStr">
        <is>
          <t>TORNILLO AUTOPERFORANTE HEXAGONAL PUNTA BROCA 12-14 X 4"</t>
        </is>
      </c>
      <c r="C500" t="inlineStr">
        <is>
          <t>Tornilleria</t>
        </is>
      </c>
      <c r="D500" t="inlineStr">
        <is>
          <t>Unidad</t>
        </is>
      </c>
      <c r="E500" t="inlineStr">
        <is>
          <t>CDS</t>
        </is>
      </c>
      <c r="F500" t="n">
        <v>0</v>
      </c>
      <c r="G500" t="n">
        <v>0</v>
      </c>
      <c r="H500" t="n">
        <v>0</v>
      </c>
      <c r="I500" t="n">
        <v>0</v>
      </c>
      <c r="J500" t="n">
        <v>0</v>
      </c>
      <c r="K500" t="n">
        <v>0</v>
      </c>
      <c r="L500" t="n">
        <v>0</v>
      </c>
      <c r="M500">
        <f>F500+G500+H500+K500-I500-J500-L500</f>
        <v/>
      </c>
      <c r="N500" t="inlineStr">
        <is>
          <t>NO APLICA</t>
        </is>
      </c>
      <c r="O500" t="n">
        <v>5</v>
      </c>
      <c r="P500">
        <f>IF(M500&lt;0, "ERROR: SOBREGIRO", IF(M500=0, "SIN EXISTENCIAS", IF(M500&lt;=O500, "STOCK BAJO", "STOCK NORMAL")))</f>
        <v/>
      </c>
    </row>
    <row r="501">
      <c r="A501" t="n">
        <v>14863</v>
      </c>
      <c r="B501" t="inlineStr">
        <is>
          <t>TORNILLO AUTOPERFORANTE HEXAGONAL PUNTA BROCA 12-14 X 5"</t>
        </is>
      </c>
      <c r="C501" t="inlineStr">
        <is>
          <t>Tornilleria</t>
        </is>
      </c>
      <c r="D501" t="inlineStr">
        <is>
          <t>Unidad</t>
        </is>
      </c>
      <c r="E501" t="inlineStr">
        <is>
          <t>CDS</t>
        </is>
      </c>
      <c r="F501" t="n">
        <v>0</v>
      </c>
      <c r="G501" t="n">
        <v>0</v>
      </c>
      <c r="H501" t="n">
        <v>0</v>
      </c>
      <c r="I501" t="n">
        <v>0</v>
      </c>
      <c r="J501" t="n">
        <v>0</v>
      </c>
      <c r="K501" t="n">
        <v>0</v>
      </c>
      <c r="L501" t="n">
        <v>0</v>
      </c>
      <c r="M501">
        <f>F501+G501+H501+K501-I501-J501-L501</f>
        <v/>
      </c>
      <c r="N501" t="inlineStr">
        <is>
          <t>NO APLICA</t>
        </is>
      </c>
      <c r="O501" t="n">
        <v>5</v>
      </c>
      <c r="P501">
        <f>IF(M501&lt;0, "ERROR: SOBREGIRO", IF(M501=0, "SIN EXISTENCIAS", IF(M501&lt;=O501, "STOCK BAJO", "STOCK NORMAL")))</f>
        <v/>
      </c>
    </row>
    <row r="502">
      <c r="A502" t="n">
        <v>14865</v>
      </c>
      <c r="B502" t="inlineStr">
        <is>
          <t>TORNILLO M8X15</t>
        </is>
      </c>
      <c r="C502" t="inlineStr">
        <is>
          <t>Tornilleria</t>
        </is>
      </c>
      <c r="D502" t="inlineStr">
        <is>
          <t>Unidad</t>
        </is>
      </c>
      <c r="E502" t="inlineStr">
        <is>
          <t>CDS</t>
        </is>
      </c>
      <c r="F502" t="n">
        <v>0</v>
      </c>
      <c r="G502" t="n">
        <v>0</v>
      </c>
      <c r="H502" t="n">
        <v>0</v>
      </c>
      <c r="I502" t="n">
        <v>0</v>
      </c>
      <c r="J502" t="n">
        <v>0</v>
      </c>
      <c r="K502" t="n">
        <v>0</v>
      </c>
      <c r="L502" t="n">
        <v>0</v>
      </c>
      <c r="M502">
        <f>F502+G502+H502+K502-I502-J502-L502</f>
        <v/>
      </c>
      <c r="N502" t="inlineStr">
        <is>
          <t>NO APLICA</t>
        </is>
      </c>
      <c r="O502" t="n">
        <v>5</v>
      </c>
      <c r="P502">
        <f>IF(M502&lt;0, "ERROR: SOBREGIRO", IF(M502=0, "SIN EXISTENCIAS", IF(M502&lt;=O502, "STOCK BAJO", "STOCK NORMAL")))</f>
        <v/>
      </c>
    </row>
    <row r="503">
      <c r="A503" t="n">
        <v>14867</v>
      </c>
      <c r="B503" t="inlineStr">
        <is>
          <t>TORNILLO M8X35</t>
        </is>
      </c>
      <c r="C503" t="inlineStr">
        <is>
          <t>Tornilleria</t>
        </is>
      </c>
      <c r="D503" t="inlineStr">
        <is>
          <t>Unidad</t>
        </is>
      </c>
      <c r="E503" t="inlineStr">
        <is>
          <t>CDS</t>
        </is>
      </c>
      <c r="F503" t="n">
        <v>0</v>
      </c>
      <c r="G503" t="n">
        <v>0</v>
      </c>
      <c r="H503" t="n">
        <v>0</v>
      </c>
      <c r="I503" t="n">
        <v>0</v>
      </c>
      <c r="J503" t="n">
        <v>0</v>
      </c>
      <c r="K503" t="n">
        <v>0</v>
      </c>
      <c r="L503" t="n">
        <v>0</v>
      </c>
      <c r="M503">
        <f>F503+G503+H503+K503-I503-J503-L503</f>
        <v/>
      </c>
      <c r="N503" t="inlineStr">
        <is>
          <t>NO APLICA</t>
        </is>
      </c>
      <c r="O503" t="n">
        <v>5</v>
      </c>
      <c r="P503">
        <f>IF(M503&lt;0, "ERROR: SOBREGIRO", IF(M503=0, "SIN EXISTENCIAS", IF(M503&lt;=O503, "STOCK BAJO", "STOCK NORMAL")))</f>
        <v/>
      </c>
    </row>
    <row r="504">
      <c r="A504" t="n">
        <v>15459</v>
      </c>
      <c r="B504" t="inlineStr">
        <is>
          <t>INTERRUPTOR TERMOMAGNÉTICO INDUSTRIAL TRIPOLAR SERIE SUSOL 400-500A (65KA) LS</t>
        </is>
      </c>
      <c r="C504" t="inlineStr">
        <is>
          <t>Elementos electricos</t>
        </is>
      </c>
      <c r="D504" t="inlineStr">
        <is>
          <t>Unidad</t>
        </is>
      </c>
      <c r="E504" t="inlineStr">
        <is>
          <t>CDS</t>
        </is>
      </c>
      <c r="F504" t="n">
        <v>1</v>
      </c>
      <c r="G504" t="n">
        <v>0</v>
      </c>
      <c r="H504" t="n">
        <v>0</v>
      </c>
      <c r="I504" t="n">
        <v>0</v>
      </c>
      <c r="J504" t="n">
        <v>0</v>
      </c>
      <c r="K504" t="n">
        <v>0</v>
      </c>
      <c r="L504" t="n">
        <v>0</v>
      </c>
      <c r="M504">
        <f>F504+G504+H504+K504-I504-J504-L504</f>
        <v/>
      </c>
      <c r="N504" t="inlineStr">
        <is>
          <t>NO APLICA</t>
        </is>
      </c>
      <c r="O504" t="n">
        <v>5</v>
      </c>
      <c r="P504">
        <f>IF(M504&lt;0, "ERROR: SOBREGIRO", IF(M504=0, "SIN EXISTENCIAS", IF(M504&lt;=O504, "STOCK BAJO", "STOCK NORMAL")))</f>
        <v/>
      </c>
    </row>
    <row r="505">
      <c r="A505" t="n">
        <v>15865</v>
      </c>
      <c r="B505" t="inlineStr">
        <is>
          <t>TRANSFERENCIA MANUAL 63A EN CAJA 20X20X10 CON PILOTOS</t>
        </is>
      </c>
      <c r="C505" t="inlineStr">
        <is>
          <t>Materiales</t>
        </is>
      </c>
      <c r="D505" t="inlineStr">
        <is>
          <t>Caja</t>
        </is>
      </c>
      <c r="E505" t="inlineStr">
        <is>
          <t>CDS</t>
        </is>
      </c>
      <c r="F505" t="n">
        <v>0</v>
      </c>
      <c r="G505" t="n">
        <v>0</v>
      </c>
      <c r="H505" t="n">
        <v>0</v>
      </c>
      <c r="I505" t="n">
        <v>0</v>
      </c>
      <c r="J505" t="n">
        <v>0</v>
      </c>
      <c r="K505" t="n">
        <v>0</v>
      </c>
      <c r="L505" t="n">
        <v>0</v>
      </c>
      <c r="M505">
        <f>F505+G505+H505+K505-I505-J505-L505</f>
        <v/>
      </c>
      <c r="N505" t="inlineStr">
        <is>
          <t>NO APLICA</t>
        </is>
      </c>
      <c r="O505" t="n">
        <v>5</v>
      </c>
      <c r="P505">
        <f>IF(M505&lt;0, "ERROR: SOBREGIRO", IF(M505=0, "SIN EXISTENCIAS", IF(M505&lt;=O505, "STOCK BAJO", "STOCK NORMAL")))</f>
        <v/>
      </c>
    </row>
    <row r="506">
      <c r="A506" t="n">
        <v>17785</v>
      </c>
      <c r="B506" t="inlineStr">
        <is>
          <t>CONDULETA LR 3" INTEMPERIE</t>
        </is>
      </c>
      <c r="C506" t="inlineStr">
        <is>
          <t>Materiales</t>
        </is>
      </c>
      <c r="D506" t="inlineStr">
        <is>
          <t>Unidad</t>
        </is>
      </c>
      <c r="E506" t="inlineStr">
        <is>
          <t>CDS</t>
        </is>
      </c>
      <c r="F506" t="n">
        <v>1</v>
      </c>
      <c r="G506" t="n">
        <v>0</v>
      </c>
      <c r="H506" t="n">
        <v>0</v>
      </c>
      <c r="I506" t="n">
        <v>0</v>
      </c>
      <c r="J506" t="n">
        <v>0</v>
      </c>
      <c r="K506" t="n">
        <v>0</v>
      </c>
      <c r="L506" t="n">
        <v>0</v>
      </c>
      <c r="M506">
        <f>F506+G506+H506+K506-I506-J506-L506</f>
        <v/>
      </c>
      <c r="N506" t="inlineStr">
        <is>
          <t>NO APLICA</t>
        </is>
      </c>
      <c r="O506" t="n">
        <v>5</v>
      </c>
      <c r="P506">
        <f>IF(M506&lt;0, "ERROR: SOBREGIRO", IF(M506=0, "SIN EXISTENCIAS", IF(M506&lt;=O506, "STOCK BAJO", "STOCK NORMAL")))</f>
        <v/>
      </c>
    </row>
    <row r="507">
      <c r="A507" t="n">
        <v>18396</v>
      </c>
      <c r="B507" t="inlineStr">
        <is>
          <t>PUNTAS PH2</t>
        </is>
      </c>
      <c r="C507" t="inlineStr">
        <is>
          <t>Materiales</t>
        </is>
      </c>
      <c r="D507" t="inlineStr">
        <is>
          <t>Unidad</t>
        </is>
      </c>
      <c r="E507" t="inlineStr">
        <is>
          <t>CDS</t>
        </is>
      </c>
      <c r="F507" t="n">
        <v>0</v>
      </c>
      <c r="G507" t="n">
        <v>0</v>
      </c>
      <c r="H507" t="n">
        <v>0</v>
      </c>
      <c r="I507" t="n">
        <v>0</v>
      </c>
      <c r="J507" t="n">
        <v>0</v>
      </c>
      <c r="K507" t="n">
        <v>0</v>
      </c>
      <c r="L507" t="n">
        <v>0</v>
      </c>
      <c r="M507">
        <f>F507+G507+H507+K507-I507-J507-L507</f>
        <v/>
      </c>
      <c r="N507" t="inlineStr">
        <is>
          <t>NO APLICA</t>
        </is>
      </c>
      <c r="O507" t="n">
        <v>5</v>
      </c>
      <c r="P507">
        <f>IF(M507&lt;0, "ERROR: SOBREGIRO", IF(M507=0, "SIN EXISTENCIAS", IF(M507&lt;=O507, "STOCK BAJO", "STOCK NORMAL")))</f>
        <v/>
      </c>
    </row>
    <row r="508">
      <c r="A508" t="n">
        <v>18402</v>
      </c>
      <c r="B508" t="inlineStr">
        <is>
          <t>DISCO DIAMANTADO SEGMENTADO 4-1/2-PULG</t>
        </is>
      </c>
      <c r="C508" t="inlineStr">
        <is>
          <t>Consumibles</t>
        </is>
      </c>
      <c r="D508" t="inlineStr">
        <is>
          <t>Unidad</t>
        </is>
      </c>
      <c r="E508" t="inlineStr">
        <is>
          <t>CDS</t>
        </is>
      </c>
      <c r="F508" t="n">
        <v>0</v>
      </c>
      <c r="G508" t="n">
        <v>0</v>
      </c>
      <c r="H508" t="n">
        <v>0</v>
      </c>
      <c r="I508" t="n">
        <v>0</v>
      </c>
      <c r="J508" t="n">
        <v>0</v>
      </c>
      <c r="K508" t="n">
        <v>0</v>
      </c>
      <c r="L508" t="n">
        <v>0</v>
      </c>
      <c r="M508">
        <f>F508+G508+H508+K508-I508-J508-L508</f>
        <v/>
      </c>
      <c r="N508" t="inlineStr">
        <is>
          <t>NO APLICA</t>
        </is>
      </c>
      <c r="O508" t="n">
        <v>5</v>
      </c>
      <c r="P508">
        <f>IF(M508&lt;0, "ERROR: SOBREGIRO", IF(M508=0, "SIN EXISTENCIAS", IF(M508&lt;=O508, "STOCK BAJO", "STOCK NORMAL")))</f>
        <v/>
      </c>
    </row>
    <row r="509">
      <c r="A509" t="n">
        <v>18403</v>
      </c>
      <c r="B509" t="inlineStr">
        <is>
          <t>DISCO CORTE ALUMINIO 10-PULG 80 DIENTES</t>
        </is>
      </c>
      <c r="C509" t="inlineStr">
        <is>
          <t>Consumibles</t>
        </is>
      </c>
      <c r="D509" t="inlineStr">
        <is>
          <t>Unidad</t>
        </is>
      </c>
      <c r="E509" t="inlineStr">
        <is>
          <t>CDS</t>
        </is>
      </c>
      <c r="F509" t="n">
        <v>0</v>
      </c>
      <c r="G509" t="n">
        <v>0</v>
      </c>
      <c r="H509" t="n">
        <v>0</v>
      </c>
      <c r="I509" t="n">
        <v>0</v>
      </c>
      <c r="J509" t="n">
        <v>0</v>
      </c>
      <c r="K509" t="n">
        <v>0</v>
      </c>
      <c r="L509" t="n">
        <v>0</v>
      </c>
      <c r="M509">
        <f>F509+G509+H509+K509-I509-J509-L509</f>
        <v/>
      </c>
      <c r="N509" t="inlineStr">
        <is>
          <t>NO APLICA</t>
        </is>
      </c>
      <c r="O509" t="n">
        <v>5</v>
      </c>
      <c r="P509">
        <f>IF(M509&lt;0, "ERROR: SOBREGIRO", IF(M509=0, "SIN EXISTENCIAS", IF(M509&lt;=O509, "STOCK BAJO", "STOCK NORMAL")))</f>
        <v/>
      </c>
    </row>
    <row r="510">
      <c r="A510" t="n">
        <v>18409</v>
      </c>
      <c r="B510" t="inlineStr">
        <is>
          <t>BROCA SDS PLUS PARA CONCRETO 1/2"</t>
        </is>
      </c>
      <c r="C510" t="inlineStr">
        <is>
          <t>Materiales</t>
        </is>
      </c>
      <c r="D510" t="inlineStr">
        <is>
          <t>Unidad</t>
        </is>
      </c>
      <c r="E510" t="inlineStr">
        <is>
          <t>CDS</t>
        </is>
      </c>
      <c r="F510" t="n">
        <v>0</v>
      </c>
      <c r="G510" t="n">
        <v>0</v>
      </c>
      <c r="H510" t="n">
        <v>0</v>
      </c>
      <c r="I510" t="n">
        <v>0</v>
      </c>
      <c r="J510" t="n">
        <v>0</v>
      </c>
      <c r="K510" t="n">
        <v>0</v>
      </c>
      <c r="L510" t="n">
        <v>0</v>
      </c>
      <c r="M510">
        <f>F510+G510+H510+K510-I510-J510-L510</f>
        <v/>
      </c>
      <c r="N510" t="inlineStr">
        <is>
          <t>NO APLICA</t>
        </is>
      </c>
      <c r="O510" t="n">
        <v>5</v>
      </c>
      <c r="P510">
        <f>IF(M510&lt;0, "ERROR: SOBREGIRO", IF(M510=0, "SIN EXISTENCIAS", IF(M510&lt;=O510, "STOCK BAJO", "STOCK NORMAL")))</f>
        <v/>
      </c>
    </row>
    <row r="511">
      <c r="A511" t="n">
        <v>18410</v>
      </c>
      <c r="B511" t="inlineStr">
        <is>
          <t>BROCA PARA CONCRETO 5/8"</t>
        </is>
      </c>
      <c r="C511" t="inlineStr">
        <is>
          <t>Materiales</t>
        </is>
      </c>
      <c r="D511" t="inlineStr">
        <is>
          <t>Unidad</t>
        </is>
      </c>
      <c r="E511" t="inlineStr">
        <is>
          <t>CDS</t>
        </is>
      </c>
      <c r="F511" t="n">
        <v>0</v>
      </c>
      <c r="G511" t="n">
        <v>0</v>
      </c>
      <c r="H511" t="n">
        <v>0</v>
      </c>
      <c r="I511" t="n">
        <v>0</v>
      </c>
      <c r="J511" t="n">
        <v>0</v>
      </c>
      <c r="K511" t="n">
        <v>0</v>
      </c>
      <c r="L511" t="n">
        <v>0</v>
      </c>
      <c r="M511">
        <f>F511+G511+H511+K511-I511-J511-L511</f>
        <v/>
      </c>
      <c r="N511" t="inlineStr">
        <is>
          <t>NO APLICA</t>
        </is>
      </c>
      <c r="O511" t="n">
        <v>5</v>
      </c>
      <c r="P511">
        <f>IF(M511&lt;0, "ERROR: SOBREGIRO", IF(M511=0, "SIN EXISTENCIAS", IF(M511&lt;=O511, "STOCK BAJO", "STOCK NORMAL")))</f>
        <v/>
      </c>
    </row>
    <row r="512">
      <c r="A512" t="n">
        <v>18411</v>
      </c>
      <c r="B512" t="inlineStr">
        <is>
          <t>BROCA PARA CONCRETO 1/8"</t>
        </is>
      </c>
      <c r="C512" t="inlineStr">
        <is>
          <t>Materiales</t>
        </is>
      </c>
      <c r="D512" t="inlineStr">
        <is>
          <t>Unidad</t>
        </is>
      </c>
      <c r="E512" t="inlineStr">
        <is>
          <t>CDS</t>
        </is>
      </c>
      <c r="F512" t="n">
        <v>0</v>
      </c>
      <c r="G512" t="n">
        <v>0</v>
      </c>
      <c r="H512" t="n">
        <v>0</v>
      </c>
      <c r="I512" t="n">
        <v>0</v>
      </c>
      <c r="J512" t="n">
        <v>0</v>
      </c>
      <c r="K512" t="n">
        <v>0</v>
      </c>
      <c r="L512" t="n">
        <v>0</v>
      </c>
      <c r="M512">
        <f>F512+G512+H512+K512-I512-J512-L512</f>
        <v/>
      </c>
      <c r="N512" t="inlineStr">
        <is>
          <t>NO APLICA</t>
        </is>
      </c>
      <c r="O512" t="n">
        <v>5</v>
      </c>
      <c r="P512">
        <f>IF(M512&lt;0, "ERROR: SOBREGIRO", IF(M512=0, "SIN EXISTENCIAS", IF(M512&lt;=O512, "STOCK BAJO", "STOCK NORMAL")))</f>
        <v/>
      </c>
    </row>
    <row r="513">
      <c r="A513" t="n">
        <v>18412</v>
      </c>
      <c r="B513" t="inlineStr">
        <is>
          <t>BROCA ACERO RÁPIDO 3/16"</t>
        </is>
      </c>
      <c r="C513" t="inlineStr">
        <is>
          <t>Materiales</t>
        </is>
      </c>
      <c r="D513" t="inlineStr">
        <is>
          <t>Unidad</t>
        </is>
      </c>
      <c r="E513" t="inlineStr">
        <is>
          <t>CDS</t>
        </is>
      </c>
      <c r="F513" t="n">
        <v>0</v>
      </c>
      <c r="G513" t="n">
        <v>0</v>
      </c>
      <c r="H513" t="n">
        <v>0</v>
      </c>
      <c r="I513" t="n">
        <v>0</v>
      </c>
      <c r="J513" t="n">
        <v>0</v>
      </c>
      <c r="K513" t="n">
        <v>0</v>
      </c>
      <c r="L513" t="n">
        <v>0</v>
      </c>
      <c r="M513">
        <f>F513+G513+H513+K513-I513-J513-L513</f>
        <v/>
      </c>
      <c r="N513" t="inlineStr">
        <is>
          <t>NO APLICA</t>
        </is>
      </c>
      <c r="O513" t="n">
        <v>5</v>
      </c>
      <c r="P513">
        <f>IF(M513&lt;0, "ERROR: SOBREGIRO", IF(M513=0, "SIN EXISTENCIAS", IF(M513&lt;=O513, "STOCK BAJO", "STOCK NORMAL")))</f>
        <v/>
      </c>
    </row>
    <row r="514">
      <c r="A514" t="n">
        <v>18414</v>
      </c>
      <c r="B514" t="inlineStr">
        <is>
          <t>AVELLANADOR 5/8-PULG VÁSTAGO HEXAGONAL 1/4-PULG</t>
        </is>
      </c>
      <c r="C514" t="inlineStr">
        <is>
          <t>Materiales</t>
        </is>
      </c>
      <c r="D514" t="inlineStr">
        <is>
          <t>Unidad</t>
        </is>
      </c>
      <c r="E514" t="inlineStr">
        <is>
          <t>CDS</t>
        </is>
      </c>
      <c r="F514" t="n">
        <v>0</v>
      </c>
      <c r="G514" t="n">
        <v>0</v>
      </c>
      <c r="H514" t="n">
        <v>0</v>
      </c>
      <c r="I514" t="n">
        <v>0</v>
      </c>
      <c r="J514" t="n">
        <v>0</v>
      </c>
      <c r="K514" t="n">
        <v>0</v>
      </c>
      <c r="L514" t="n">
        <v>0</v>
      </c>
      <c r="M514">
        <f>F514+G514+H514+K514-I514-J514-L514</f>
        <v/>
      </c>
      <c r="N514" t="inlineStr">
        <is>
          <t>NO APLICA</t>
        </is>
      </c>
      <c r="O514" t="n">
        <v>5</v>
      </c>
      <c r="P514">
        <f>IF(M514&lt;0, "ERROR: SOBREGIRO", IF(M514=0, "SIN EXISTENCIAS", IF(M514&lt;=O514, "STOCK BAJO", "STOCK NORMAL")))</f>
        <v/>
      </c>
    </row>
    <row r="515">
      <c r="A515" t="n">
        <v>18418</v>
      </c>
      <c r="B515" t="inlineStr">
        <is>
          <t>ADAPTADOR IMPACTO CUADRANTE DE 3/8"</t>
        </is>
      </c>
      <c r="C515" t="inlineStr">
        <is>
          <t>Materiales</t>
        </is>
      </c>
      <c r="D515" t="inlineStr">
        <is>
          <t>Unidad</t>
        </is>
      </c>
      <c r="E515" t="inlineStr">
        <is>
          <t>CDS</t>
        </is>
      </c>
      <c r="F515" t="n">
        <v>0</v>
      </c>
      <c r="G515" t="n">
        <v>0</v>
      </c>
      <c r="H515" t="n">
        <v>0</v>
      </c>
      <c r="I515" t="n">
        <v>0</v>
      </c>
      <c r="J515" t="n">
        <v>0</v>
      </c>
      <c r="K515" t="n">
        <v>0</v>
      </c>
      <c r="L515" t="n">
        <v>0</v>
      </c>
      <c r="M515">
        <f>F515+G515+H515+K515-I515-J515-L515</f>
        <v/>
      </c>
      <c r="N515" t="inlineStr">
        <is>
          <t>NO APLICA</t>
        </is>
      </c>
      <c r="O515" t="n">
        <v>5</v>
      </c>
      <c r="P515">
        <f>IF(M515&lt;0, "ERROR: SOBREGIRO", IF(M515=0, "SIN EXISTENCIAS", IF(M515&lt;=O515, "STOCK BAJO", "STOCK NORMAL")))</f>
        <v/>
      </c>
    </row>
    <row r="516">
      <c r="A516" t="n">
        <v>18419</v>
      </c>
      <c r="B516" t="inlineStr">
        <is>
          <t>ADAPTADOR IMPACTO CUADRANTE DE 1/4"</t>
        </is>
      </c>
      <c r="C516" t="inlineStr">
        <is>
          <t>Materiales</t>
        </is>
      </c>
      <c r="D516" t="inlineStr">
        <is>
          <t>Unidad</t>
        </is>
      </c>
      <c r="E516" t="inlineStr">
        <is>
          <t>CDS</t>
        </is>
      </c>
      <c r="F516" t="n">
        <v>0</v>
      </c>
      <c r="G516" t="n">
        <v>0</v>
      </c>
      <c r="H516" t="n">
        <v>0</v>
      </c>
      <c r="I516" t="n">
        <v>0</v>
      </c>
      <c r="J516" t="n">
        <v>0</v>
      </c>
      <c r="K516" t="n">
        <v>0</v>
      </c>
      <c r="L516" t="n">
        <v>0</v>
      </c>
      <c r="M516">
        <f>F516+G516+H516+K516-I516-J516-L516</f>
        <v/>
      </c>
      <c r="N516" t="inlineStr">
        <is>
          <t>NO APLICA</t>
        </is>
      </c>
      <c r="O516" t="n">
        <v>5</v>
      </c>
      <c r="P516">
        <f>IF(M516&lt;0, "ERROR: SOBREGIRO", IF(M516=0, "SIN EXISTENCIAS", IF(M516&lt;=O516, "STOCK BAJO", "STOCK NORMAL")))</f>
        <v/>
      </c>
    </row>
    <row r="517">
      <c r="A517" t="n">
        <v>18420</v>
      </c>
      <c r="B517" t="inlineStr">
        <is>
          <t>ADAPTADOR IMPACTO CUADRANTE DE 1/2"</t>
        </is>
      </c>
      <c r="C517" t="inlineStr">
        <is>
          <t>Materiales</t>
        </is>
      </c>
      <c r="D517" t="inlineStr">
        <is>
          <t>Unidad</t>
        </is>
      </c>
      <c r="E517" t="inlineStr">
        <is>
          <t>CDS</t>
        </is>
      </c>
      <c r="F517" t="n">
        <v>0</v>
      </c>
      <c r="G517" t="n">
        <v>0</v>
      </c>
      <c r="H517" t="n">
        <v>0</v>
      </c>
      <c r="I517" t="n">
        <v>0</v>
      </c>
      <c r="J517" t="n">
        <v>0</v>
      </c>
      <c r="K517" t="n">
        <v>0</v>
      </c>
      <c r="L517" t="n">
        <v>0</v>
      </c>
      <c r="M517">
        <f>F517+G517+H517+K517-I517-J517-L517</f>
        <v/>
      </c>
      <c r="N517" t="inlineStr">
        <is>
          <t>NO APLICA</t>
        </is>
      </c>
      <c r="O517" t="n">
        <v>5</v>
      </c>
      <c r="P517">
        <f>IF(M517&lt;0, "ERROR: SOBREGIRO", IF(M517=0, "SIN EXISTENCIAS", IF(M517&lt;=O517, "STOCK BAJO", "STOCK NORMAL")))</f>
        <v/>
      </c>
    </row>
    <row r="518">
      <c r="A518" t="n">
        <v>19520</v>
      </c>
      <c r="B518" t="inlineStr">
        <is>
          <t>MEDIDOR TRIFÁSICO BIDERECCIÓN (MT174 MEDIDA DIRECTA)</t>
        </is>
      </c>
      <c r="C518" t="inlineStr">
        <is>
          <t>Materiales</t>
        </is>
      </c>
      <c r="D518" t="inlineStr">
        <is>
          <t>Unidad</t>
        </is>
      </c>
      <c r="E518" t="inlineStr">
        <is>
          <t>CDS</t>
        </is>
      </c>
      <c r="F518" t="n">
        <v>0</v>
      </c>
      <c r="G518" t="n">
        <v>0</v>
      </c>
      <c r="H518" t="n">
        <v>0</v>
      </c>
      <c r="I518" t="n">
        <v>0</v>
      </c>
      <c r="J518" t="n">
        <v>0</v>
      </c>
      <c r="K518" t="n">
        <v>0</v>
      </c>
      <c r="L518" t="n">
        <v>0</v>
      </c>
      <c r="M518">
        <f>F518+G518+H518+K518-I518-J518-L518</f>
        <v/>
      </c>
      <c r="N518" t="inlineStr">
        <is>
          <t>NO APLICA</t>
        </is>
      </c>
      <c r="O518" t="n">
        <v>5</v>
      </c>
      <c r="P518">
        <f>IF(M518&lt;0, "ERROR: SOBREGIRO", IF(M518=0, "SIN EXISTENCIAS", IF(M518&lt;=O518, "STOCK BAJO", "STOCK NORMAL")))</f>
        <v/>
      </c>
    </row>
    <row r="519">
      <c r="A519" t="n">
        <v>22569</v>
      </c>
      <c r="B519" t="inlineStr">
        <is>
          <t>TABLERO DE DISTRIBUCIÓN RESIDENCIAL SOBREPONER IP41 6 MÓDULOS DIN</t>
        </is>
      </c>
      <c r="C519" t="inlineStr">
        <is>
          <t>Materiales</t>
        </is>
      </c>
      <c r="D519" t="inlineStr">
        <is>
          <t>Unidad</t>
        </is>
      </c>
      <c r="E519" t="inlineStr">
        <is>
          <t>CDS</t>
        </is>
      </c>
      <c r="F519" t="n">
        <v>4</v>
      </c>
      <c r="G519" t="n">
        <v>0</v>
      </c>
      <c r="H519" t="n">
        <v>0</v>
      </c>
      <c r="I519" t="n">
        <v>0</v>
      </c>
      <c r="J519" t="n">
        <v>0</v>
      </c>
      <c r="K519" t="n">
        <v>0</v>
      </c>
      <c r="L519" t="n">
        <v>0</v>
      </c>
      <c r="M519">
        <f>F519+G519+H519+K519-I519-J519-L519</f>
        <v/>
      </c>
      <c r="N519" t="inlineStr">
        <is>
          <t>NO APLICA</t>
        </is>
      </c>
      <c r="O519" t="n">
        <v>5</v>
      </c>
      <c r="P519">
        <f>IF(M519&lt;0, "ERROR: SOBREGIRO", IF(M519=0, "SIN EXISTENCIAS", IF(M519&lt;=O519, "STOCK BAJO", "STOCK NORMAL")))</f>
        <v/>
      </c>
    </row>
    <row r="520">
      <c r="A520" t="n">
        <v>22570</v>
      </c>
      <c r="B520" t="inlineStr">
        <is>
          <t>TAPA INTERPERIE 20/50A SIGMA DUPLEX</t>
        </is>
      </c>
      <c r="C520" t="inlineStr">
        <is>
          <t>Materiales</t>
        </is>
      </c>
      <c r="D520" t="inlineStr">
        <is>
          <t>Unidad</t>
        </is>
      </c>
      <c r="E520" t="inlineStr">
        <is>
          <t>CDS</t>
        </is>
      </c>
      <c r="F520" t="n">
        <v>0</v>
      </c>
      <c r="G520" t="n">
        <v>0</v>
      </c>
      <c r="H520" t="n">
        <v>0</v>
      </c>
      <c r="I520" t="n">
        <v>0</v>
      </c>
      <c r="J520" t="n">
        <v>0</v>
      </c>
      <c r="K520" t="n">
        <v>0</v>
      </c>
      <c r="L520" t="n">
        <v>0</v>
      </c>
      <c r="M520">
        <f>F520+G520+H520+K520-I520-J520-L520</f>
        <v/>
      </c>
      <c r="N520" t="inlineStr">
        <is>
          <t>NO APLICA</t>
        </is>
      </c>
      <c r="O520" t="n">
        <v>5</v>
      </c>
      <c r="P520">
        <f>IF(M520&lt;0, "ERROR: SOBREGIRO", IF(M520=0, "SIN EXISTENCIAS", IF(M520&lt;=O520, "STOCK BAJO", "STOCK NORMAL")))</f>
        <v/>
      </c>
    </row>
    <row r="521">
      <c r="A521" t="n">
        <v>23773</v>
      </c>
      <c r="B521" t="inlineStr">
        <is>
          <t>BROCA ACERO RAPIDO 1/2</t>
        </is>
      </c>
      <c r="C521" t="inlineStr">
        <is>
          <t>Materiales</t>
        </is>
      </c>
      <c r="D521" t="inlineStr">
        <is>
          <t>Unidad</t>
        </is>
      </c>
      <c r="E521" t="inlineStr">
        <is>
          <t>CDS</t>
        </is>
      </c>
      <c r="F521" t="n">
        <v>0</v>
      </c>
      <c r="G521" t="n">
        <v>0</v>
      </c>
      <c r="H521" t="n">
        <v>0</v>
      </c>
      <c r="I521" t="n">
        <v>0</v>
      </c>
      <c r="J521" t="n">
        <v>0</v>
      </c>
      <c r="K521" t="n">
        <v>0</v>
      </c>
      <c r="L521" t="n">
        <v>0</v>
      </c>
      <c r="M521">
        <f>F521+G521+H521+K521-I521-J521-L521</f>
        <v/>
      </c>
      <c r="N521" t="inlineStr">
        <is>
          <t>NO APLICA</t>
        </is>
      </c>
      <c r="O521" t="n">
        <v>5</v>
      </c>
      <c r="P521">
        <f>IF(M521&lt;0, "ERROR: SOBREGIRO", IF(M521=0, "SIN EXISTENCIAS", IF(M521&lt;=O521, "STOCK BAJO", "STOCK NORMAL")))</f>
        <v/>
      </c>
    </row>
    <row r="522">
      <c r="A522" t="n">
        <v>23774</v>
      </c>
      <c r="B522" t="inlineStr">
        <is>
          <t>TERMOENCOGIBLE TRANSPARENTE 6MM</t>
        </is>
      </c>
      <c r="C522" t="inlineStr">
        <is>
          <t>Materiales</t>
        </is>
      </c>
      <c r="D522" t="inlineStr">
        <is>
          <t>Unidad</t>
        </is>
      </c>
      <c r="E522" t="inlineStr">
        <is>
          <t>CDS</t>
        </is>
      </c>
      <c r="F522" t="n">
        <v>0</v>
      </c>
      <c r="G522" t="n">
        <v>0</v>
      </c>
      <c r="H522" t="n">
        <v>0</v>
      </c>
      <c r="I522" t="n">
        <v>0</v>
      </c>
      <c r="J522" t="n">
        <v>0</v>
      </c>
      <c r="K522" t="n">
        <v>0</v>
      </c>
      <c r="L522" t="n">
        <v>0</v>
      </c>
      <c r="M522">
        <f>F522+G522+H522+K522-I522-J522-L522</f>
        <v/>
      </c>
      <c r="N522" t="inlineStr">
        <is>
          <t>NO APLICA</t>
        </is>
      </c>
      <c r="O522" t="n">
        <v>5</v>
      </c>
      <c r="P522">
        <f>IF(M522&lt;0, "ERROR: SOBREGIRO", IF(M522=0, "SIN EXISTENCIAS", IF(M522&lt;=O522, "STOCK BAJO", "STOCK NORMAL")))</f>
        <v/>
      </c>
    </row>
    <row r="523">
      <c r="A523" t="n">
        <v>24474</v>
      </c>
      <c r="B523" t="inlineStr">
        <is>
          <t>PUNTA CAPTADORA 5/8 X 1MT CON BASE DX ALUMINIO</t>
        </is>
      </c>
      <c r="C523" t="inlineStr">
        <is>
          <t>Materiales</t>
        </is>
      </c>
      <c r="D523" t="inlineStr">
        <is>
          <t>Unidad</t>
        </is>
      </c>
      <c r="E523" t="inlineStr">
        <is>
          <t>CDS</t>
        </is>
      </c>
      <c r="F523" t="n">
        <v>0</v>
      </c>
      <c r="G523" t="n">
        <v>0</v>
      </c>
      <c r="H523" t="n">
        <v>0</v>
      </c>
      <c r="I523" t="n">
        <v>0</v>
      </c>
      <c r="J523" t="n">
        <v>0</v>
      </c>
      <c r="K523" t="n">
        <v>0</v>
      </c>
      <c r="L523" t="n">
        <v>0</v>
      </c>
      <c r="M523">
        <f>F523+G523+H523+K523-I523-J523-L523</f>
        <v/>
      </c>
      <c r="N523" t="inlineStr">
        <is>
          <t>NO APLICA</t>
        </is>
      </c>
      <c r="O523" t="n">
        <v>5</v>
      </c>
      <c r="P523">
        <f>IF(M523&lt;0, "ERROR: SOBREGIRO", IF(M523=0, "SIN EXISTENCIAS", IF(M523&lt;=O523, "STOCK BAJO", "STOCK NORMAL")))</f>
        <v/>
      </c>
    </row>
    <row r="524">
      <c r="A524" t="n">
        <v>24475</v>
      </c>
      <c r="B524" t="inlineStr">
        <is>
          <t>BASE METÁLICA PARA PUNTA CAPTADORA ALUMINIO DE 5/8 ESCUÁLIDA</t>
        </is>
      </c>
      <c r="C524" t="inlineStr">
        <is>
          <t>Materiales</t>
        </is>
      </c>
      <c r="D524" t="inlineStr">
        <is>
          <t>Unidad</t>
        </is>
      </c>
      <c r="E524" t="inlineStr">
        <is>
          <t>CDS</t>
        </is>
      </c>
      <c r="F524" t="n">
        <v>0</v>
      </c>
      <c r="G524" t="n">
        <v>0</v>
      </c>
      <c r="H524" t="n">
        <v>0</v>
      </c>
      <c r="I524" t="n">
        <v>0</v>
      </c>
      <c r="J524" t="n">
        <v>0</v>
      </c>
      <c r="K524" t="n">
        <v>0</v>
      </c>
      <c r="L524" t="n">
        <v>0</v>
      </c>
      <c r="M524">
        <f>F524+G524+H524+K524-I524-J524-L524</f>
        <v/>
      </c>
      <c r="N524" t="inlineStr">
        <is>
          <t>NO APLICA</t>
        </is>
      </c>
      <c r="O524" t="n">
        <v>5</v>
      </c>
      <c r="P524">
        <f>IF(M524&lt;0, "ERROR: SOBREGIRO", IF(M524=0, "SIN EXISTENCIAS", IF(M524&lt;=O524, "STOCK BAJO", "STOCK NORMAL")))</f>
        <v/>
      </c>
    </row>
    <row r="525">
      <c r="A525" t="n">
        <v>24476</v>
      </c>
      <c r="B525" t="inlineStr">
        <is>
          <t>ALAMBRÓN ALUMINIO 8MM APANTALLAMIENTO</t>
        </is>
      </c>
      <c r="C525" t="inlineStr">
        <is>
          <t>Materiales</t>
        </is>
      </c>
      <c r="D525" t="inlineStr">
        <is>
          <t>Unidad</t>
        </is>
      </c>
      <c r="E525" t="inlineStr">
        <is>
          <t>CDS</t>
        </is>
      </c>
      <c r="F525" t="n">
        <v>0</v>
      </c>
      <c r="G525" t="n">
        <v>0</v>
      </c>
      <c r="H525" t="n">
        <v>0</v>
      </c>
      <c r="I525" t="n">
        <v>0</v>
      </c>
      <c r="J525" t="n">
        <v>0</v>
      </c>
      <c r="K525" t="n">
        <v>0</v>
      </c>
      <c r="L525" t="n">
        <v>0</v>
      </c>
      <c r="M525">
        <f>F525+G525+H525+K525-I525-J525-L525</f>
        <v/>
      </c>
      <c r="N525" t="inlineStr">
        <is>
          <t>NO APLICA</t>
        </is>
      </c>
      <c r="O525" t="n">
        <v>5</v>
      </c>
      <c r="P525">
        <f>IF(M525&lt;0, "ERROR: SOBREGIRO", IF(M525=0, "SIN EXISTENCIAS", IF(M525&lt;=O525, "STOCK BAJO", "STOCK NORMAL")))</f>
        <v/>
      </c>
    </row>
    <row r="526">
      <c r="A526" t="n">
        <v>24481</v>
      </c>
      <c r="B526" t="inlineStr">
        <is>
          <t>VARILLA COOPER WELD 14.28MM X 2.4MTS</t>
        </is>
      </c>
      <c r="C526" t="inlineStr">
        <is>
          <t>Materiales</t>
        </is>
      </c>
      <c r="D526" t="inlineStr">
        <is>
          <t>Unidad</t>
        </is>
      </c>
      <c r="E526" t="inlineStr">
        <is>
          <t>CDS</t>
        </is>
      </c>
      <c r="F526" t="n">
        <v>0</v>
      </c>
      <c r="G526" t="n">
        <v>0</v>
      </c>
      <c r="H526" t="n">
        <v>0</v>
      </c>
      <c r="I526" t="n">
        <v>0</v>
      </c>
      <c r="J526" t="n">
        <v>0</v>
      </c>
      <c r="K526" t="n">
        <v>0</v>
      </c>
      <c r="L526" t="n">
        <v>0</v>
      </c>
      <c r="M526">
        <f>F526+G526+H526+K526-I526-J526-L526</f>
        <v/>
      </c>
      <c r="N526" t="inlineStr">
        <is>
          <t>NO APLICA</t>
        </is>
      </c>
      <c r="O526" t="n">
        <v>5</v>
      </c>
      <c r="P526">
        <f>IF(M526&lt;0, "ERROR: SOBREGIRO", IF(M526=0, "SIN EXISTENCIAS", IF(M526&lt;=O526, "STOCK BAJO", "STOCK NORMAL")))</f>
        <v/>
      </c>
    </row>
    <row r="527">
      <c r="A527" t="n">
        <v>25375</v>
      </c>
      <c r="B527" t="inlineStr">
        <is>
          <t>HOYMILES CABLE TRONCAL AC CON ACCESORIOS</t>
        </is>
      </c>
      <c r="C527" t="inlineStr">
        <is>
          <t>Cableado</t>
        </is>
      </c>
      <c r="D527" t="inlineStr">
        <is>
          <t>Metro</t>
        </is>
      </c>
      <c r="E527" t="inlineStr">
        <is>
          <t>CDS</t>
        </is>
      </c>
      <c r="F527" t="n">
        <v>0</v>
      </c>
      <c r="G527" t="n">
        <v>0</v>
      </c>
      <c r="H527" t="n">
        <v>0</v>
      </c>
      <c r="I527" t="n">
        <v>0</v>
      </c>
      <c r="J527" t="n">
        <v>0</v>
      </c>
      <c r="K527" t="n">
        <v>0</v>
      </c>
      <c r="L527" t="n">
        <v>0</v>
      </c>
      <c r="M527">
        <f>F527+G527+H527+K527-I527-J527-L527</f>
        <v/>
      </c>
      <c r="N527" t="inlineStr">
        <is>
          <t>NO APLICA</t>
        </is>
      </c>
      <c r="O527" t="n">
        <v>5</v>
      </c>
      <c r="P527">
        <f>IF(M527&lt;0, "ERROR: SOBREGIRO", IF(M527=0, "SIN EXISTENCIAS", IF(M527&lt;=O527, "STOCK BAJO", "STOCK NORMAL")))</f>
        <v/>
      </c>
    </row>
    <row r="528">
      <c r="A528" t="n">
        <v>25681</v>
      </c>
      <c r="B528" t="inlineStr">
        <is>
          <t>TERMOENCOGIBLE CABLE 2/0 AWG COLOR NARANJA</t>
        </is>
      </c>
      <c r="C528" t="inlineStr">
        <is>
          <t>Cableado</t>
        </is>
      </c>
      <c r="D528" t="inlineStr">
        <is>
          <t>Metro</t>
        </is>
      </c>
      <c r="E528" t="inlineStr">
        <is>
          <t>CDS</t>
        </is>
      </c>
      <c r="F528" t="n">
        <v>0</v>
      </c>
      <c r="G528" t="n">
        <v>0</v>
      </c>
      <c r="H528" t="n">
        <v>0</v>
      </c>
      <c r="I528" t="n">
        <v>0</v>
      </c>
      <c r="J528" t="n">
        <v>0</v>
      </c>
      <c r="K528" t="n">
        <v>0</v>
      </c>
      <c r="L528" t="n">
        <v>0</v>
      </c>
      <c r="M528">
        <f>F528+G528+H528+K528-I528-J528-L528</f>
        <v/>
      </c>
      <c r="N528" t="inlineStr">
        <is>
          <t>NO APLICA</t>
        </is>
      </c>
      <c r="O528" t="n">
        <v>5</v>
      </c>
      <c r="P528">
        <f>IF(M528&lt;0, "ERROR: SOBREGIRO", IF(M528=0, "SIN EXISTENCIAS", IF(M528&lt;=O528, "STOCK BAJO", "STOCK NORMAL")))</f>
        <v/>
      </c>
    </row>
    <row r="529">
      <c r="A529" t="n">
        <v>25687</v>
      </c>
      <c r="B529" t="inlineStr">
        <is>
          <t>ANTENA ALTA GANANCIA ANT700 3MTS</t>
        </is>
      </c>
      <c r="C529" t="inlineStr">
        <is>
          <t>Materiales</t>
        </is>
      </c>
      <c r="D529" t="inlineStr">
        <is>
          <t>Unidad</t>
        </is>
      </c>
      <c r="E529" t="inlineStr">
        <is>
          <t>CDS</t>
        </is>
      </c>
      <c r="F529" t="n">
        <v>0</v>
      </c>
      <c r="G529" t="n">
        <v>0</v>
      </c>
      <c r="H529" t="n">
        <v>0</v>
      </c>
      <c r="I529" t="n">
        <v>0</v>
      </c>
      <c r="J529" t="n">
        <v>0</v>
      </c>
      <c r="K529" t="n">
        <v>0</v>
      </c>
      <c r="L529" t="n">
        <v>0</v>
      </c>
      <c r="M529">
        <f>F529+G529+H529+K529-I529-J529-L529</f>
        <v/>
      </c>
      <c r="N529" t="inlineStr">
        <is>
          <t>NO APLICA</t>
        </is>
      </c>
      <c r="O529" t="n">
        <v>5</v>
      </c>
      <c r="P529">
        <f>IF(M529&lt;0, "ERROR: SOBREGIRO", IF(M529=0, "SIN EXISTENCIAS", IF(M529&lt;=O529, "STOCK BAJO", "STOCK NORMAL")))</f>
        <v/>
      </c>
    </row>
    <row r="530">
      <c r="A530" t="n">
        <v>25690</v>
      </c>
      <c r="B530" t="inlineStr">
        <is>
          <t>DPS TIPO 2- DAC50 -30-150  50KA CITEL</t>
        </is>
      </c>
      <c r="C530" t="inlineStr">
        <is>
          <t>Materiales</t>
        </is>
      </c>
      <c r="D530" t="inlineStr">
        <is>
          <t>Unidad</t>
        </is>
      </c>
      <c r="E530" t="inlineStr">
        <is>
          <t>CDS</t>
        </is>
      </c>
      <c r="F530" t="n">
        <v>0</v>
      </c>
      <c r="G530" t="n">
        <v>0</v>
      </c>
      <c r="H530" t="n">
        <v>0</v>
      </c>
      <c r="I530" t="n">
        <v>0</v>
      </c>
      <c r="J530" t="n">
        <v>0</v>
      </c>
      <c r="K530" t="n">
        <v>0</v>
      </c>
      <c r="L530" t="n">
        <v>0</v>
      </c>
      <c r="M530">
        <f>F530+G530+H530+K530-I530-J530-L530</f>
        <v/>
      </c>
      <c r="N530" t="inlineStr">
        <is>
          <t>NO APLICA</t>
        </is>
      </c>
      <c r="O530" t="n">
        <v>5</v>
      </c>
      <c r="P530">
        <f>IF(M530&lt;0, "ERROR: SOBREGIRO", IF(M530=0, "SIN EXISTENCIAS", IF(M530&lt;=O530, "STOCK BAJO", "STOCK NORMAL")))</f>
        <v/>
      </c>
    </row>
    <row r="531">
      <c r="A531" t="n">
        <v>27418</v>
      </c>
      <c r="B531" t="inlineStr">
        <is>
          <t>TERMINAL BIMETALICA OJO 250 KCMIL HUECO 3/8" CILES</t>
        </is>
      </c>
      <c r="C531" t="inlineStr">
        <is>
          <t>Elementos electricos</t>
        </is>
      </c>
      <c r="D531" t="inlineStr">
        <is>
          <t>Unidad</t>
        </is>
      </c>
      <c r="E531" t="inlineStr">
        <is>
          <t>CDS</t>
        </is>
      </c>
      <c r="F531" t="n">
        <v>0</v>
      </c>
      <c r="G531" t="n">
        <v>0</v>
      </c>
      <c r="H531" t="n">
        <v>0</v>
      </c>
      <c r="I531" t="n">
        <v>0</v>
      </c>
      <c r="J531" t="n">
        <v>0</v>
      </c>
      <c r="K531" t="n">
        <v>0</v>
      </c>
      <c r="L531" t="n">
        <v>0</v>
      </c>
      <c r="M531">
        <f>F531+G531+H531+K531-I531-J531-L531</f>
        <v/>
      </c>
      <c r="N531" t="inlineStr">
        <is>
          <t>NO APLICA</t>
        </is>
      </c>
      <c r="O531" t="n">
        <v>5</v>
      </c>
      <c r="P531">
        <f>IF(M531&lt;0, "ERROR: SOBREGIRO", IF(M531=0, "SIN EXISTENCIAS", IF(M531&lt;=O531, "STOCK BAJO", "STOCK NORMAL")))</f>
        <v/>
      </c>
    </row>
    <row r="532">
      <c r="A532" t="n">
        <v>27419</v>
      </c>
      <c r="B532" t="inlineStr">
        <is>
          <t>TERMINAL BIMETALICA OJO 350 KCMIL HUECO 3/8" CILES</t>
        </is>
      </c>
      <c r="C532" t="inlineStr">
        <is>
          <t>Elementos electricos</t>
        </is>
      </c>
      <c r="D532" t="inlineStr">
        <is>
          <t>Unidad</t>
        </is>
      </c>
      <c r="E532" t="inlineStr">
        <is>
          <t>CDS</t>
        </is>
      </c>
      <c r="F532" t="n">
        <v>0</v>
      </c>
      <c r="G532" t="n">
        <v>0</v>
      </c>
      <c r="H532" t="n">
        <v>0</v>
      </c>
      <c r="I532" t="n">
        <v>0</v>
      </c>
      <c r="J532" t="n">
        <v>0</v>
      </c>
      <c r="K532" t="n">
        <v>0</v>
      </c>
      <c r="L532" t="n">
        <v>0</v>
      </c>
      <c r="M532">
        <f>F532+G532+H532+K532-I532-J532-L532</f>
        <v/>
      </c>
      <c r="N532" t="inlineStr">
        <is>
          <t>NO APLICA</t>
        </is>
      </c>
      <c r="O532" t="n">
        <v>5</v>
      </c>
      <c r="P532">
        <f>IF(M532&lt;0, "ERROR: SOBREGIRO", IF(M532=0, "SIN EXISTENCIAS", IF(M532&lt;=O532, "STOCK BAJO", "STOCK NORMAL")))</f>
        <v/>
      </c>
    </row>
    <row r="533">
      <c r="A533" t="n">
        <v>27423</v>
      </c>
      <c r="B533" t="inlineStr">
        <is>
          <t>TERMINAL BIMETALICA OJO 1/0 AWG HUECO 3/8" CILES</t>
        </is>
      </c>
      <c r="C533" t="inlineStr">
        <is>
          <t>Elementos electricos</t>
        </is>
      </c>
      <c r="D533" t="inlineStr">
        <is>
          <t>Unidad</t>
        </is>
      </c>
      <c r="E533" t="inlineStr">
        <is>
          <t>CDS</t>
        </is>
      </c>
      <c r="F533" t="n">
        <v>0</v>
      </c>
      <c r="G533" t="n">
        <v>0</v>
      </c>
      <c r="H533" t="n">
        <v>0</v>
      </c>
      <c r="I533" t="n">
        <v>0</v>
      </c>
      <c r="J533" t="n">
        <v>0</v>
      </c>
      <c r="K533" t="n">
        <v>0</v>
      </c>
      <c r="L533" t="n">
        <v>0</v>
      </c>
      <c r="M533">
        <f>F533+G533+H533+K533-I533-J533-L533</f>
        <v/>
      </c>
      <c r="N533" t="inlineStr">
        <is>
          <t>NO APLICA</t>
        </is>
      </c>
      <c r="O533" t="n">
        <v>5</v>
      </c>
      <c r="P533">
        <f>IF(M533&lt;0, "ERROR: SOBREGIRO", IF(M533=0, "SIN EXISTENCIAS", IF(M533&lt;=O533, "STOCK BAJO", "STOCK NORMAL")))</f>
        <v/>
      </c>
    </row>
    <row r="534">
      <c r="A534" t="n">
        <v>27425</v>
      </c>
      <c r="B534" t="inlineStr">
        <is>
          <t>TERMINAL BIMETALICA OJO 4/0 AWG HUECO 3/8" CILES</t>
        </is>
      </c>
      <c r="C534" t="inlineStr">
        <is>
          <t>Elementos electricos</t>
        </is>
      </c>
      <c r="D534" t="inlineStr">
        <is>
          <t>Unidad</t>
        </is>
      </c>
      <c r="E534" t="inlineStr">
        <is>
          <t>CDS</t>
        </is>
      </c>
      <c r="F534" t="n">
        <v>0</v>
      </c>
      <c r="G534" t="n">
        <v>0</v>
      </c>
      <c r="H534" t="n">
        <v>0</v>
      </c>
      <c r="I534" t="n">
        <v>0</v>
      </c>
      <c r="J534" t="n">
        <v>0</v>
      </c>
      <c r="K534" t="n">
        <v>0</v>
      </c>
      <c r="L534" t="n">
        <v>0</v>
      </c>
      <c r="M534">
        <f>F534+G534+H534+K534-I534-J534-L534</f>
        <v/>
      </c>
      <c r="N534" t="inlineStr">
        <is>
          <t>NO APLICA</t>
        </is>
      </c>
      <c r="O534" t="n">
        <v>5</v>
      </c>
      <c r="P534">
        <f>IF(M534&lt;0, "ERROR: SOBREGIRO", IF(M534=0, "SIN EXISTENCIAS", IF(M534&lt;=O534, "STOCK BAJO", "STOCK NORMAL")))</f>
        <v/>
      </c>
    </row>
    <row r="535">
      <c r="A535" t="n">
        <v>27426</v>
      </c>
      <c r="B535" t="inlineStr">
        <is>
          <t>TERMINAL BIMETALICA OJO 2/0 AWG HUECO 3/8" CILES</t>
        </is>
      </c>
      <c r="C535" t="inlineStr">
        <is>
          <t>Elementos electricos</t>
        </is>
      </c>
      <c r="D535" t="inlineStr">
        <is>
          <t>Unidad</t>
        </is>
      </c>
      <c r="E535" t="inlineStr">
        <is>
          <t>CDS</t>
        </is>
      </c>
      <c r="F535" t="n">
        <v>0</v>
      </c>
      <c r="G535" t="n">
        <v>0</v>
      </c>
      <c r="H535" t="n">
        <v>0</v>
      </c>
      <c r="I535" t="n">
        <v>0</v>
      </c>
      <c r="J535" t="n">
        <v>0</v>
      </c>
      <c r="K535" t="n">
        <v>0</v>
      </c>
      <c r="L535" t="n">
        <v>0</v>
      </c>
      <c r="M535">
        <f>F535+G535+H535+K535-I535-J535-L535</f>
        <v/>
      </c>
      <c r="N535" t="inlineStr">
        <is>
          <t>NO APLICA</t>
        </is>
      </c>
      <c r="O535" t="n">
        <v>5</v>
      </c>
      <c r="P535">
        <f>IF(M535&lt;0, "ERROR: SOBREGIRO", IF(M535=0, "SIN EXISTENCIAS", IF(M535&lt;=O535, "STOCK BAJO", "STOCK NORMAL")))</f>
        <v/>
      </c>
    </row>
    <row r="536">
      <c r="A536" t="n">
        <v>28025</v>
      </c>
      <c r="B536" t="inlineStr">
        <is>
          <t>COPA SIERRA 2 1/2"</t>
        </is>
      </c>
      <c r="C536" t="inlineStr">
        <is>
          <t>Materiales</t>
        </is>
      </c>
      <c r="D536" t="inlineStr">
        <is>
          <t>Unidad</t>
        </is>
      </c>
      <c r="E536" t="inlineStr">
        <is>
          <t>CDS</t>
        </is>
      </c>
      <c r="F536" t="n">
        <v>0</v>
      </c>
      <c r="G536" t="n">
        <v>0</v>
      </c>
      <c r="H536" t="n">
        <v>0</v>
      </c>
      <c r="I536" t="n">
        <v>0</v>
      </c>
      <c r="J536" t="n">
        <v>0</v>
      </c>
      <c r="K536" t="n">
        <v>0</v>
      </c>
      <c r="L536" t="n">
        <v>0</v>
      </c>
      <c r="M536">
        <f>F536+G536+H536+K536-I536-J536-L536</f>
        <v/>
      </c>
      <c r="N536" t="inlineStr">
        <is>
          <t>NO APLICA</t>
        </is>
      </c>
      <c r="O536" t="n">
        <v>5</v>
      </c>
      <c r="P536">
        <f>IF(M536&lt;0, "ERROR: SOBREGIRO", IF(M536=0, "SIN EXISTENCIAS", IF(M536&lt;=O536, "STOCK BAJO", "STOCK NORMAL")))</f>
        <v/>
      </c>
    </row>
    <row r="537">
      <c r="A537" t="n">
        <v>28217</v>
      </c>
      <c r="B537" t="inlineStr">
        <is>
          <t>VARILLA ROSCADA GALVANIZADA 5/16"</t>
        </is>
      </c>
      <c r="C537" t="inlineStr">
        <is>
          <t>Tornilleria</t>
        </is>
      </c>
      <c r="D537" t="inlineStr">
        <is>
          <t>Unidad</t>
        </is>
      </c>
      <c r="E537" t="inlineStr">
        <is>
          <t>CDS</t>
        </is>
      </c>
      <c r="F537" t="n">
        <v>0</v>
      </c>
      <c r="G537" t="n">
        <v>0</v>
      </c>
      <c r="H537" t="n">
        <v>0</v>
      </c>
      <c r="I537" t="n">
        <v>0</v>
      </c>
      <c r="J537" t="n">
        <v>0</v>
      </c>
      <c r="K537" t="n">
        <v>0</v>
      </c>
      <c r="L537" t="n">
        <v>0</v>
      </c>
      <c r="M537">
        <f>F537+G537+H537+K537-I537-J537-L537</f>
        <v/>
      </c>
      <c r="N537" t="inlineStr">
        <is>
          <t>NO APLICA</t>
        </is>
      </c>
      <c r="O537" t="n">
        <v>5</v>
      </c>
      <c r="P537">
        <f>IF(M537&lt;0, "ERROR: SOBREGIRO", IF(M537=0, "SIN EXISTENCIAS", IF(M537&lt;=O537, "STOCK BAJO", "STOCK NORMAL")))</f>
        <v/>
      </c>
    </row>
    <row r="538">
      <c r="A538" t="n">
        <v>28418</v>
      </c>
      <c r="B538" t="inlineStr">
        <is>
          <t>JUEGO DE BROCA ESCALONADA ALTA VELOCIDAD TRUPER</t>
        </is>
      </c>
      <c r="C538" t="inlineStr">
        <is>
          <t>Materiales</t>
        </is>
      </c>
      <c r="D538" t="inlineStr">
        <is>
          <t>Unidad</t>
        </is>
      </c>
      <c r="E538" t="inlineStr">
        <is>
          <t>CDS</t>
        </is>
      </c>
      <c r="F538" t="n">
        <v>0</v>
      </c>
      <c r="G538" t="n">
        <v>0</v>
      </c>
      <c r="H538" t="n">
        <v>0</v>
      </c>
      <c r="I538" t="n">
        <v>0</v>
      </c>
      <c r="J538" t="n">
        <v>0</v>
      </c>
      <c r="K538" t="n">
        <v>0</v>
      </c>
      <c r="L538" t="n">
        <v>0</v>
      </c>
      <c r="M538">
        <f>F538+G538+H538+K538-I538-J538-L538</f>
        <v/>
      </c>
      <c r="N538" t="inlineStr">
        <is>
          <t>NO APLICA</t>
        </is>
      </c>
      <c r="O538" t="n">
        <v>5</v>
      </c>
      <c r="P538">
        <f>IF(M538&lt;0, "ERROR: SOBREGIRO", IF(M538=0, "SIN EXISTENCIAS", IF(M538&lt;=O538, "STOCK BAJO", "STOCK NORMAL")))</f>
        <v/>
      </c>
    </row>
    <row r="539">
      <c r="A539" t="n">
        <v>29430</v>
      </c>
      <c r="B539" t="inlineStr">
        <is>
          <t>TORNILLO TROPICALIZADO GRADO 8 5/16" X 1 1/4"</t>
        </is>
      </c>
      <c r="C539" t="inlineStr">
        <is>
          <t>Tornilleria</t>
        </is>
      </c>
      <c r="D539" t="inlineStr">
        <is>
          <t>Unidad</t>
        </is>
      </c>
      <c r="E539" t="inlineStr">
        <is>
          <t>CDS</t>
        </is>
      </c>
      <c r="F539" t="n">
        <v>0</v>
      </c>
      <c r="G539" t="n">
        <v>0</v>
      </c>
      <c r="H539" t="n">
        <v>0</v>
      </c>
      <c r="I539" t="n">
        <v>0</v>
      </c>
      <c r="J539" t="n">
        <v>0</v>
      </c>
      <c r="K539" t="n">
        <v>0</v>
      </c>
      <c r="L539" t="n">
        <v>0</v>
      </c>
      <c r="M539">
        <f>F539+G539+H539+K539-I539-J539-L539</f>
        <v/>
      </c>
      <c r="N539" t="inlineStr">
        <is>
          <t>NO APLICA</t>
        </is>
      </c>
      <c r="O539" t="n">
        <v>5</v>
      </c>
      <c r="P539">
        <f>IF(M539&lt;0, "ERROR: SOBREGIRO", IF(M539=0, "SIN EXISTENCIAS", IF(M539&lt;=O539, "STOCK BAJO", "STOCK NORMAL")))</f>
        <v/>
      </c>
    </row>
    <row r="540">
      <c r="A540" t="n">
        <v>29565</v>
      </c>
      <c r="B540" t="inlineStr">
        <is>
          <t>TORNILLO PUNTA DE AGUJA 9X1 1/2"</t>
        </is>
      </c>
      <c r="C540" t="inlineStr">
        <is>
          <t>Tornilleria</t>
        </is>
      </c>
      <c r="D540" t="inlineStr">
        <is>
          <t>Unidad</t>
        </is>
      </c>
      <c r="E540" t="inlineStr">
        <is>
          <t>CDS</t>
        </is>
      </c>
      <c r="F540" t="n">
        <v>392</v>
      </c>
      <c r="G540" t="n">
        <v>0</v>
      </c>
      <c r="H540" t="n">
        <v>0</v>
      </c>
      <c r="I540" t="n">
        <v>0</v>
      </c>
      <c r="J540" t="n">
        <v>0</v>
      </c>
      <c r="K540" t="n">
        <v>0</v>
      </c>
      <c r="L540" t="n">
        <v>0</v>
      </c>
      <c r="M540">
        <f>F540+G540+H540+K540-I540-J540-L540</f>
        <v/>
      </c>
      <c r="N540" t="inlineStr">
        <is>
          <t>NO APLICA</t>
        </is>
      </c>
      <c r="O540" t="n">
        <v>5</v>
      </c>
      <c r="P540">
        <f>IF(M540&lt;0, "ERROR: SOBREGIRO", IF(M540=0, "SIN EXISTENCIAS", IF(M540&lt;=O540, "STOCK BAJO", "STOCK NORMAL")))</f>
        <v/>
      </c>
    </row>
    <row r="541">
      <c r="A541" t="n">
        <v>30176</v>
      </c>
      <c r="B541" t="inlineStr">
        <is>
          <t>VARILLA DE COBRE COBRE 2,4M X 12,7MM</t>
        </is>
      </c>
      <c r="C541" t="inlineStr">
        <is>
          <t>Materiales</t>
        </is>
      </c>
      <c r="D541" t="inlineStr">
        <is>
          <t>Unidad</t>
        </is>
      </c>
      <c r="E541" t="inlineStr">
        <is>
          <t>CDS</t>
        </is>
      </c>
      <c r="F541" t="n">
        <v>0</v>
      </c>
      <c r="G541" t="n">
        <v>0</v>
      </c>
      <c r="H541" t="n">
        <v>0</v>
      </c>
      <c r="I541" t="n">
        <v>0</v>
      </c>
      <c r="J541" t="n">
        <v>0</v>
      </c>
      <c r="K541" t="n">
        <v>0</v>
      </c>
      <c r="L541" t="n">
        <v>0</v>
      </c>
      <c r="M541">
        <f>F541+G541+H541+K541-I541-J541-L541</f>
        <v/>
      </c>
      <c r="N541" t="inlineStr">
        <is>
          <t>NO APLICA</t>
        </is>
      </c>
      <c r="O541" t="n">
        <v>5</v>
      </c>
      <c r="P541">
        <f>IF(M541&lt;0, "ERROR: SOBREGIRO", IF(M541=0, "SIN EXISTENCIAS", IF(M541&lt;=O541, "STOCK BAJO", "STOCK NORMAL")))</f>
        <v/>
      </c>
    </row>
    <row r="542">
      <c r="A542" t="n">
        <v>31185</v>
      </c>
      <c r="B542" t="inlineStr">
        <is>
          <t>TERMOENCOGIBLE CABLE 4/0 AWG COLOR VERDE</t>
        </is>
      </c>
      <c r="C542" t="inlineStr">
        <is>
          <t>Cableado</t>
        </is>
      </c>
      <c r="D542" t="inlineStr">
        <is>
          <t>Metro</t>
        </is>
      </c>
      <c r="E542" t="inlineStr">
        <is>
          <t>CDS</t>
        </is>
      </c>
      <c r="F542" t="n">
        <v>0</v>
      </c>
      <c r="G542" t="n">
        <v>0</v>
      </c>
      <c r="H542" t="n">
        <v>0</v>
      </c>
      <c r="I542" t="n">
        <v>0</v>
      </c>
      <c r="J542" t="n">
        <v>0</v>
      </c>
      <c r="K542" t="n">
        <v>0</v>
      </c>
      <c r="L542" t="n">
        <v>0</v>
      </c>
      <c r="M542">
        <f>F542+G542+H542+K542-I542-J542-L542</f>
        <v/>
      </c>
      <c r="N542" t="inlineStr">
        <is>
          <t>NO APLICA</t>
        </is>
      </c>
      <c r="O542" t="n">
        <v>5</v>
      </c>
      <c r="P542">
        <f>IF(M542&lt;0, "ERROR: SOBREGIRO", IF(M542=0, "SIN EXISTENCIAS", IF(M542&lt;=O542, "STOCK BAJO", "STOCK NORMAL")))</f>
        <v/>
      </c>
    </row>
    <row r="543">
      <c r="A543" t="n">
        <v>31188</v>
      </c>
      <c r="B543" t="inlineStr">
        <is>
          <t>CAJA RADWELT 4X4 SALIDAS 3/4</t>
        </is>
      </c>
      <c r="C543" t="inlineStr">
        <is>
          <t>Materiales</t>
        </is>
      </c>
      <c r="D543" t="inlineStr">
        <is>
          <t>Caja</t>
        </is>
      </c>
      <c r="E543" t="inlineStr">
        <is>
          <t>CDS</t>
        </is>
      </c>
      <c r="F543" t="n">
        <v>16</v>
      </c>
      <c r="G543" t="n">
        <v>0</v>
      </c>
      <c r="H543" t="n">
        <v>0</v>
      </c>
      <c r="I543" t="n">
        <v>0</v>
      </c>
      <c r="J543" t="n">
        <v>0</v>
      </c>
      <c r="K543" t="n">
        <v>0</v>
      </c>
      <c r="L543" t="n">
        <v>0</v>
      </c>
      <c r="M543">
        <f>F543+G543+H543+K543-I543-J543-L543</f>
        <v/>
      </c>
      <c r="N543" t="inlineStr">
        <is>
          <t>NO APLICA</t>
        </is>
      </c>
      <c r="O543" t="n">
        <v>5</v>
      </c>
      <c r="P543">
        <f>IF(M543&lt;0, "ERROR: SOBREGIRO", IF(M543=0, "SIN EXISTENCIAS", IF(M543&lt;=O543, "STOCK BAJO", "STOCK NORMAL")))</f>
        <v/>
      </c>
    </row>
    <row r="544">
      <c r="A544" t="n">
        <v>31189</v>
      </c>
      <c r="B544" t="inlineStr">
        <is>
          <t>CAJA RADWELT 4X2 SALIDAS 3/4</t>
        </is>
      </c>
      <c r="C544" t="inlineStr">
        <is>
          <t>Materiales</t>
        </is>
      </c>
      <c r="D544" t="inlineStr">
        <is>
          <t>Caja</t>
        </is>
      </c>
      <c r="E544" t="inlineStr">
        <is>
          <t>CDS</t>
        </is>
      </c>
      <c r="F544" t="n">
        <v>8</v>
      </c>
      <c r="G544" t="n">
        <v>0</v>
      </c>
      <c r="H544" t="n">
        <v>0</v>
      </c>
      <c r="I544" t="n">
        <v>0</v>
      </c>
      <c r="J544" t="n">
        <v>0</v>
      </c>
      <c r="K544" t="n">
        <v>0</v>
      </c>
      <c r="L544" t="n">
        <v>0</v>
      </c>
      <c r="M544">
        <f>F544+G544+H544+K544-I544-J544-L544</f>
        <v/>
      </c>
      <c r="N544" t="inlineStr">
        <is>
          <t>NO APLICA</t>
        </is>
      </c>
      <c r="O544" t="n">
        <v>5</v>
      </c>
      <c r="P544">
        <f>IF(M544&lt;0, "ERROR: SOBREGIRO", IF(M544=0, "SIN EXISTENCIAS", IF(M544&lt;=O544, "STOCK BAJO", "STOCK NORMAL")))</f>
        <v/>
      </c>
    </row>
    <row r="545">
      <c r="A545" t="n">
        <v>31190</v>
      </c>
      <c r="B545" t="inlineStr">
        <is>
          <t>TAPACIEGA PARA CAJA RADWELT CAJA 4X4</t>
        </is>
      </c>
      <c r="C545" t="inlineStr">
        <is>
          <t>Materiales</t>
        </is>
      </c>
      <c r="D545" t="inlineStr">
        <is>
          <t>Caja</t>
        </is>
      </c>
      <c r="E545" t="inlineStr">
        <is>
          <t>CDS</t>
        </is>
      </c>
      <c r="F545" t="n">
        <v>0</v>
      </c>
      <c r="G545" t="n">
        <v>0</v>
      </c>
      <c r="H545" t="n">
        <v>0</v>
      </c>
      <c r="I545" t="n">
        <v>0</v>
      </c>
      <c r="J545" t="n">
        <v>0</v>
      </c>
      <c r="K545" t="n">
        <v>0</v>
      </c>
      <c r="L545" t="n">
        <v>0</v>
      </c>
      <c r="M545">
        <f>F545+G545+H545+K545-I545-J545-L545</f>
        <v/>
      </c>
      <c r="N545" t="inlineStr">
        <is>
          <t>NO APLICA</t>
        </is>
      </c>
      <c r="O545" t="n">
        <v>5</v>
      </c>
      <c r="P545">
        <f>IF(M545&lt;0, "ERROR: SOBREGIRO", IF(M545=0, "SIN EXISTENCIAS", IF(M545&lt;=O545, "STOCK BAJO", "STOCK NORMAL")))</f>
        <v/>
      </c>
    </row>
    <row r="546">
      <c r="A546" t="n">
        <v>31191</v>
      </c>
      <c r="B546" t="inlineStr">
        <is>
          <t>TAPACIEGA PARA CAJA RAWLT CAJA 4X2</t>
        </is>
      </c>
      <c r="C546" t="inlineStr">
        <is>
          <t>Materiales</t>
        </is>
      </c>
      <c r="D546" t="inlineStr">
        <is>
          <t>Caja</t>
        </is>
      </c>
      <c r="E546" t="inlineStr">
        <is>
          <t>CDS</t>
        </is>
      </c>
      <c r="F546" t="n">
        <v>0</v>
      </c>
      <c r="G546" t="n">
        <v>0</v>
      </c>
      <c r="H546" t="n">
        <v>0</v>
      </c>
      <c r="I546" t="n">
        <v>0</v>
      </c>
      <c r="J546" t="n">
        <v>0</v>
      </c>
      <c r="K546" t="n">
        <v>0</v>
      </c>
      <c r="L546" t="n">
        <v>0</v>
      </c>
      <c r="M546">
        <f>F546+G546+H546+K546-I546-J546-L546</f>
        <v/>
      </c>
      <c r="N546" t="inlineStr">
        <is>
          <t>NO APLICA</t>
        </is>
      </c>
      <c r="O546" t="n">
        <v>5</v>
      </c>
      <c r="P546">
        <f>IF(M546&lt;0, "ERROR: SOBREGIRO", IF(M546=0, "SIN EXISTENCIAS", IF(M546&lt;=O546, "STOCK BAJO", "STOCK NORMAL")))</f>
        <v/>
      </c>
    </row>
    <row r="547">
      <c r="A547" t="n">
        <v>33021</v>
      </c>
      <c r="B547" t="inlineStr">
        <is>
          <t>TORNILLO AUTOPERFORANTE PUNTA BROCA CABEZA LENTEJA 3/4*1/2"</t>
        </is>
      </c>
      <c r="C547" t="inlineStr">
        <is>
          <t>Tornilleria</t>
        </is>
      </c>
      <c r="D547" t="inlineStr">
        <is>
          <t>Unidad</t>
        </is>
      </c>
      <c r="E547" t="inlineStr">
        <is>
          <t>CDS</t>
        </is>
      </c>
      <c r="F547" t="n">
        <v>0</v>
      </c>
      <c r="G547" t="n">
        <v>0</v>
      </c>
      <c r="H547" t="n">
        <v>0</v>
      </c>
      <c r="I547" t="n">
        <v>0</v>
      </c>
      <c r="J547" t="n">
        <v>0</v>
      </c>
      <c r="K547" t="n">
        <v>0</v>
      </c>
      <c r="L547" t="n">
        <v>0</v>
      </c>
      <c r="M547">
        <f>F547+G547+H547+K547-I547-J547-L547</f>
        <v/>
      </c>
      <c r="N547" t="inlineStr">
        <is>
          <t>NO APLICA</t>
        </is>
      </c>
      <c r="O547" t="n">
        <v>5</v>
      </c>
      <c r="P547">
        <f>IF(M547&lt;0, "ERROR: SOBREGIRO", IF(M547=0, "SIN EXISTENCIAS", IF(M547&lt;=O547, "STOCK BAJO", "STOCK NORMAL")))</f>
        <v/>
      </c>
    </row>
    <row r="548">
      <c r="A548" t="n">
        <v>33028</v>
      </c>
      <c r="B548" t="inlineStr">
        <is>
          <t>CABLE TELDOR RS485 2 HILOS</t>
        </is>
      </c>
      <c r="C548" t="inlineStr">
        <is>
          <t>Cableado</t>
        </is>
      </c>
      <c r="D548" t="inlineStr">
        <is>
          <t>Metro</t>
        </is>
      </c>
      <c r="E548" t="inlineStr">
        <is>
          <t>CDS</t>
        </is>
      </c>
      <c r="F548" t="n">
        <v>0</v>
      </c>
      <c r="G548" t="n">
        <v>0</v>
      </c>
      <c r="H548" t="n">
        <v>0</v>
      </c>
      <c r="I548" t="n">
        <v>0</v>
      </c>
      <c r="J548" t="n">
        <v>0</v>
      </c>
      <c r="K548" t="n">
        <v>0</v>
      </c>
      <c r="L548" t="n">
        <v>0</v>
      </c>
      <c r="M548">
        <f>F548+G548+H548+K548-I548-J548-L548</f>
        <v/>
      </c>
      <c r="N548" t="inlineStr">
        <is>
          <t>NO APLICA</t>
        </is>
      </c>
      <c r="O548" t="n">
        <v>5</v>
      </c>
      <c r="P548">
        <f>IF(M548&lt;0, "ERROR: SOBREGIRO", IF(M548=0, "SIN EXISTENCIAS", IF(M548&lt;=O548, "STOCK BAJO", "STOCK NORMAL")))</f>
        <v/>
      </c>
    </row>
    <row r="549">
      <c r="A549" t="n">
        <v>33034</v>
      </c>
      <c r="B549" t="inlineStr">
        <is>
          <t>TERMINAL BIMETALICA OJO 4 AWG HUECO 1/4"</t>
        </is>
      </c>
      <c r="C549" t="inlineStr">
        <is>
          <t>Elementos electricos</t>
        </is>
      </c>
      <c r="D549" t="inlineStr">
        <is>
          <t>Unidad</t>
        </is>
      </c>
      <c r="E549" t="inlineStr">
        <is>
          <t>CDS</t>
        </is>
      </c>
      <c r="F549" t="n">
        <v>0</v>
      </c>
      <c r="G549" t="n">
        <v>0</v>
      </c>
      <c r="H549" t="n">
        <v>0</v>
      </c>
      <c r="I549" t="n">
        <v>0</v>
      </c>
      <c r="J549" t="n">
        <v>0</v>
      </c>
      <c r="K549" t="n">
        <v>0</v>
      </c>
      <c r="L549" t="n">
        <v>0</v>
      </c>
      <c r="M549">
        <f>F549+G549+H549+K549-I549-J549-L549</f>
        <v/>
      </c>
      <c r="N549" t="inlineStr">
        <is>
          <t>NO APLICA</t>
        </is>
      </c>
      <c r="O549" t="n">
        <v>5</v>
      </c>
      <c r="P549">
        <f>IF(M549&lt;0, "ERROR: SOBREGIRO", IF(M549=0, "SIN EXISTENCIAS", IF(M549&lt;=O549, "STOCK BAJO", "STOCK NORMAL")))</f>
        <v/>
      </c>
    </row>
    <row r="550">
      <c r="A550" t="n">
        <v>33237</v>
      </c>
      <c r="B550" t="inlineStr">
        <is>
          <t>CAJA DE PASO PLASTICA 11X11X8</t>
        </is>
      </c>
      <c r="C550" t="inlineStr">
        <is>
          <t>Materiales</t>
        </is>
      </c>
      <c r="D550" t="inlineStr">
        <is>
          <t>Caja</t>
        </is>
      </c>
      <c r="E550" t="inlineStr">
        <is>
          <t>CDS</t>
        </is>
      </c>
      <c r="F550" t="n">
        <v>0</v>
      </c>
      <c r="G550" t="n">
        <v>0</v>
      </c>
      <c r="H550" t="n">
        <v>0</v>
      </c>
      <c r="I550" t="n">
        <v>0</v>
      </c>
      <c r="J550" t="n">
        <v>0</v>
      </c>
      <c r="K550" t="n">
        <v>0</v>
      </c>
      <c r="L550" t="n">
        <v>0</v>
      </c>
      <c r="M550">
        <f>F550+G550+H550+K550-I550-J550-L550</f>
        <v/>
      </c>
      <c r="N550" t="inlineStr">
        <is>
          <t>NO APLICA</t>
        </is>
      </c>
      <c r="O550" t="n">
        <v>5</v>
      </c>
      <c r="P550">
        <f>IF(M550&lt;0, "ERROR: SOBREGIRO", IF(M550=0, "SIN EXISTENCIAS", IF(M550&lt;=O550, "STOCK BAJO", "STOCK NORMAL")))</f>
        <v/>
      </c>
    </row>
    <row r="551">
      <c r="A551" t="n">
        <v>34449</v>
      </c>
      <c r="B551" t="inlineStr">
        <is>
          <t>HUAWEI SUN2000-100KTL-M2</t>
        </is>
      </c>
      <c r="C551" t="inlineStr">
        <is>
          <t>Materiales</t>
        </is>
      </c>
      <c r="D551" t="inlineStr">
        <is>
          <t>Unidad</t>
        </is>
      </c>
      <c r="E551" t="inlineStr">
        <is>
          <t>CDS</t>
        </is>
      </c>
      <c r="F551" t="n">
        <v>0</v>
      </c>
      <c r="G551" t="n">
        <v>0</v>
      </c>
      <c r="H551" t="n">
        <v>0</v>
      </c>
      <c r="I551" t="n">
        <v>0</v>
      </c>
      <c r="J551" t="n">
        <v>0</v>
      </c>
      <c r="K551" t="n">
        <v>0</v>
      </c>
      <c r="L551" t="n">
        <v>0</v>
      </c>
      <c r="M551">
        <f>F551+G551+H551+K551-I551-J551-L551</f>
        <v/>
      </c>
      <c r="N551" t="inlineStr">
        <is>
          <t>NO APLICA</t>
        </is>
      </c>
      <c r="O551" t="n">
        <v>5</v>
      </c>
      <c r="P551">
        <f>IF(M551&lt;0, "ERROR: SOBREGIRO", IF(M551=0, "SIN EXISTENCIAS", IF(M551&lt;=O551, "STOCK BAJO", "STOCK NORMAL")))</f>
        <v/>
      </c>
    </row>
    <row r="552">
      <c r="A552" t="n">
        <v>35165</v>
      </c>
      <c r="B552" t="inlineStr">
        <is>
          <t>BROCA MURO 3/16"</t>
        </is>
      </c>
      <c r="C552" t="inlineStr">
        <is>
          <t>Materiales</t>
        </is>
      </c>
      <c r="D552" t="inlineStr">
        <is>
          <t>Unidad</t>
        </is>
      </c>
      <c r="E552" t="inlineStr">
        <is>
          <t>CDS</t>
        </is>
      </c>
      <c r="F552" t="n">
        <v>0</v>
      </c>
      <c r="G552" t="n">
        <v>0</v>
      </c>
      <c r="H552" t="n">
        <v>0</v>
      </c>
      <c r="I552" t="n">
        <v>0</v>
      </c>
      <c r="J552" t="n">
        <v>0</v>
      </c>
      <c r="K552" t="n">
        <v>0</v>
      </c>
      <c r="L552" t="n">
        <v>0</v>
      </c>
      <c r="M552">
        <f>F552+G552+H552+K552-I552-J552-L552</f>
        <v/>
      </c>
      <c r="N552" t="inlineStr">
        <is>
          <t>NO APLICA</t>
        </is>
      </c>
      <c r="O552" t="n">
        <v>5</v>
      </c>
      <c r="P552">
        <f>IF(M552&lt;0, "ERROR: SOBREGIRO", IF(M552=0, "SIN EXISTENCIAS", IF(M552&lt;=O552, "STOCK BAJO", "STOCK NORMAL")))</f>
        <v/>
      </c>
    </row>
    <row r="553">
      <c r="A553" t="n">
        <v>35177</v>
      </c>
      <c r="B553" t="inlineStr">
        <is>
          <t>TERMINAL BIMETALICA OJO 4/0 AWG HUECO 5/16" CILES</t>
        </is>
      </c>
      <c r="C553" t="inlineStr">
        <is>
          <t>Elementos electricos</t>
        </is>
      </c>
      <c r="D553" t="inlineStr">
        <is>
          <t>Unidad</t>
        </is>
      </c>
      <c r="E553" t="inlineStr">
        <is>
          <t>CDS</t>
        </is>
      </c>
      <c r="F553" t="n">
        <v>0</v>
      </c>
      <c r="G553" t="n">
        <v>0</v>
      </c>
      <c r="H553" t="n">
        <v>0</v>
      </c>
      <c r="I553" t="n">
        <v>0</v>
      </c>
      <c r="J553" t="n">
        <v>0</v>
      </c>
      <c r="K553" t="n">
        <v>0</v>
      </c>
      <c r="L553" t="n">
        <v>0</v>
      </c>
      <c r="M553">
        <f>F553+G553+H553+K553-I553-J553-L553</f>
        <v/>
      </c>
      <c r="N553" t="inlineStr">
        <is>
          <t>NO APLICA</t>
        </is>
      </c>
      <c r="O553" t="n">
        <v>5</v>
      </c>
      <c r="P553">
        <f>IF(M553&lt;0, "ERROR: SOBREGIRO", IF(M553=0, "SIN EXISTENCIAS", IF(M553&lt;=O553, "STOCK BAJO", "STOCK NORMAL")))</f>
        <v/>
      </c>
    </row>
    <row r="554">
      <c r="A554" t="n">
        <v>35475</v>
      </c>
      <c r="B554" t="inlineStr">
        <is>
          <t>PRENSA ESTOPA 5/16" DEXSON</t>
        </is>
      </c>
      <c r="C554" t="inlineStr">
        <is>
          <t>Materiales</t>
        </is>
      </c>
      <c r="D554" t="inlineStr">
        <is>
          <t>Unidad</t>
        </is>
      </c>
      <c r="E554" t="inlineStr">
        <is>
          <t>CDS</t>
        </is>
      </c>
      <c r="F554" t="n">
        <v>0</v>
      </c>
      <c r="G554" t="n">
        <v>0</v>
      </c>
      <c r="H554" t="n">
        <v>0</v>
      </c>
      <c r="I554" t="n">
        <v>0</v>
      </c>
      <c r="J554" t="n">
        <v>0</v>
      </c>
      <c r="K554" t="n">
        <v>0</v>
      </c>
      <c r="L554" t="n">
        <v>0</v>
      </c>
      <c r="M554">
        <f>F554+G554+H554+K554-I554-J554-L554</f>
        <v/>
      </c>
      <c r="N554" t="inlineStr">
        <is>
          <t>NO APLICA</t>
        </is>
      </c>
      <c r="O554" t="n">
        <v>5</v>
      </c>
      <c r="P554">
        <f>IF(M554&lt;0, "ERROR: SOBREGIRO", IF(M554=0, "SIN EXISTENCIAS", IF(M554&lt;=O554, "STOCK BAJO", "STOCK NORMAL")))</f>
        <v/>
      </c>
    </row>
    <row r="555">
      <c r="A555" t="n">
        <v>35479</v>
      </c>
      <c r="B555" t="inlineStr">
        <is>
          <t>MENSULA CANAL SENCILLO 60CM</t>
        </is>
      </c>
      <c r="C555" t="inlineStr">
        <is>
          <t>Materiales</t>
        </is>
      </c>
      <c r="D555" t="inlineStr">
        <is>
          <t>Unidad</t>
        </is>
      </c>
      <c r="E555" t="inlineStr">
        <is>
          <t>CDS</t>
        </is>
      </c>
      <c r="F555" t="n">
        <v>0</v>
      </c>
      <c r="G555" t="n">
        <v>0</v>
      </c>
      <c r="H555" t="n">
        <v>0</v>
      </c>
      <c r="I555" t="n">
        <v>0</v>
      </c>
      <c r="J555" t="n">
        <v>0</v>
      </c>
      <c r="K555" t="n">
        <v>0</v>
      </c>
      <c r="L555" t="n">
        <v>0</v>
      </c>
      <c r="M555">
        <f>F555+G555+H555+K555-I555-J555-L555</f>
        <v/>
      </c>
      <c r="N555" t="inlineStr">
        <is>
          <t>NO APLICA</t>
        </is>
      </c>
      <c r="O555" t="n">
        <v>5</v>
      </c>
      <c r="P555">
        <f>IF(M555&lt;0, "ERROR: SOBREGIRO", IF(M555=0, "SIN EXISTENCIAS", IF(M555&lt;=O555, "STOCK BAJO", "STOCK NORMAL")))</f>
        <v/>
      </c>
    </row>
    <row r="556">
      <c r="A556" t="n">
        <v>35482</v>
      </c>
      <c r="B556" t="inlineStr">
        <is>
          <t>TERMINAL OJO 6 AWG HUECO 1/4"</t>
        </is>
      </c>
      <c r="C556" t="inlineStr">
        <is>
          <t>Elementos electricos</t>
        </is>
      </c>
      <c r="D556" t="inlineStr">
        <is>
          <t>Unidad</t>
        </is>
      </c>
      <c r="E556" t="inlineStr">
        <is>
          <t>CDS</t>
        </is>
      </c>
      <c r="F556" t="n">
        <v>0</v>
      </c>
      <c r="G556" t="n">
        <v>0</v>
      </c>
      <c r="H556" t="n">
        <v>0</v>
      </c>
      <c r="I556" t="n">
        <v>0</v>
      </c>
      <c r="J556" t="n">
        <v>0</v>
      </c>
      <c r="K556" t="n">
        <v>0</v>
      </c>
      <c r="L556" t="n">
        <v>0</v>
      </c>
      <c r="M556">
        <f>F556+G556+H556+K556-I556-J556-L556</f>
        <v/>
      </c>
      <c r="N556" t="inlineStr">
        <is>
          <t>NO APLICA</t>
        </is>
      </c>
      <c r="O556" t="n">
        <v>5</v>
      </c>
      <c r="P556">
        <f>IF(M556&lt;0, "ERROR: SOBREGIRO", IF(M556=0, "SIN EXISTENCIAS", IF(M556&lt;=O556, "STOCK BAJO", "STOCK NORMAL")))</f>
        <v/>
      </c>
    </row>
    <row r="557">
      <c r="A557" t="n">
        <v>35494</v>
      </c>
      <c r="B557" t="inlineStr">
        <is>
          <t>TERMINAL OJO 4/0 AWG HUECO 1/2"</t>
        </is>
      </c>
      <c r="C557" t="inlineStr">
        <is>
          <t>Elementos electricos</t>
        </is>
      </c>
      <c r="D557" t="inlineStr">
        <is>
          <t>Unidad</t>
        </is>
      </c>
      <c r="E557" t="inlineStr">
        <is>
          <t>CDS</t>
        </is>
      </c>
      <c r="F557" t="n">
        <v>0</v>
      </c>
      <c r="G557" t="n">
        <v>0</v>
      </c>
      <c r="H557" t="n">
        <v>0</v>
      </c>
      <c r="I557" t="n">
        <v>0</v>
      </c>
      <c r="J557" t="n">
        <v>0</v>
      </c>
      <c r="K557" t="n">
        <v>0</v>
      </c>
      <c r="L557" t="n">
        <v>0</v>
      </c>
      <c r="M557">
        <f>F557+G557+H557+K557-I557-J557-L557</f>
        <v/>
      </c>
      <c r="N557" t="inlineStr">
        <is>
          <t>NO APLICA</t>
        </is>
      </c>
      <c r="O557" t="n">
        <v>5</v>
      </c>
      <c r="P557">
        <f>IF(M557&lt;0, "ERROR: SOBREGIRO", IF(M557=0, "SIN EXISTENCIAS", IF(M557&lt;=O557, "STOCK BAJO", "STOCK NORMAL")))</f>
        <v/>
      </c>
    </row>
    <row r="558">
      <c r="A558" t="n">
        <v>35495</v>
      </c>
      <c r="B558" t="inlineStr">
        <is>
          <t>TERMINAL OJO 8 AWG HUECO 3/16"</t>
        </is>
      </c>
      <c r="C558" t="inlineStr">
        <is>
          <t>Elementos electricos</t>
        </is>
      </c>
      <c r="D558" t="inlineStr">
        <is>
          <t>Unidad</t>
        </is>
      </c>
      <c r="E558" t="inlineStr">
        <is>
          <t>CDS</t>
        </is>
      </c>
      <c r="F558" t="n">
        <v>0</v>
      </c>
      <c r="G558" t="n">
        <v>0</v>
      </c>
      <c r="H558" t="n">
        <v>0</v>
      </c>
      <c r="I558" t="n">
        <v>0</v>
      </c>
      <c r="J558" t="n">
        <v>0</v>
      </c>
      <c r="K558" t="n">
        <v>0</v>
      </c>
      <c r="L558" t="n">
        <v>0</v>
      </c>
      <c r="M558">
        <f>F558+G558+H558+K558-I558-J558-L558</f>
        <v/>
      </c>
      <c r="N558" t="inlineStr">
        <is>
          <t>NO APLICA</t>
        </is>
      </c>
      <c r="O558" t="n">
        <v>5</v>
      </c>
      <c r="P558">
        <f>IF(M558&lt;0, "ERROR: SOBREGIRO", IF(M558=0, "SIN EXISTENCIAS", IF(M558&lt;=O558, "STOCK BAJO", "STOCK NORMAL")))</f>
        <v/>
      </c>
    </row>
    <row r="559">
      <c r="A559" t="n">
        <v>35498</v>
      </c>
      <c r="B559" t="inlineStr">
        <is>
          <t>TERMINAL BIMETALICA OJO 1/0 AWG HUECO 5/16" CILES</t>
        </is>
      </c>
      <c r="C559" t="inlineStr">
        <is>
          <t>Elementos electricos</t>
        </is>
      </c>
      <c r="D559" t="inlineStr">
        <is>
          <t>Unidad</t>
        </is>
      </c>
      <c r="E559" t="inlineStr">
        <is>
          <t>CDS</t>
        </is>
      </c>
      <c r="F559" t="n">
        <v>0</v>
      </c>
      <c r="G559" t="n">
        <v>0</v>
      </c>
      <c r="H559" t="n">
        <v>0</v>
      </c>
      <c r="I559" t="n">
        <v>0</v>
      </c>
      <c r="J559" t="n">
        <v>0</v>
      </c>
      <c r="K559" t="n">
        <v>0</v>
      </c>
      <c r="L559" t="n">
        <v>0</v>
      </c>
      <c r="M559">
        <f>F559+G559+H559+K559-I559-J559-L559</f>
        <v/>
      </c>
      <c r="N559" t="inlineStr">
        <is>
          <t>NO APLICA</t>
        </is>
      </c>
      <c r="O559" t="n">
        <v>5</v>
      </c>
      <c r="P559">
        <f>IF(M559&lt;0, "ERROR: SOBREGIRO", IF(M559=0, "SIN EXISTENCIAS", IF(M559&lt;=O559, "STOCK BAJO", "STOCK NORMAL")))</f>
        <v/>
      </c>
    </row>
    <row r="560">
      <c r="A560" t="n">
        <v>35505</v>
      </c>
      <c r="B560" t="inlineStr">
        <is>
          <t>WASA INOXIDABLE 5/8"</t>
        </is>
      </c>
      <c r="C560" t="inlineStr">
        <is>
          <t>Materiales</t>
        </is>
      </c>
      <c r="D560" t="inlineStr">
        <is>
          <t>Unidad</t>
        </is>
      </c>
      <c r="E560" t="inlineStr">
        <is>
          <t>CDS</t>
        </is>
      </c>
      <c r="F560" t="n">
        <v>0</v>
      </c>
      <c r="G560" t="n">
        <v>0</v>
      </c>
      <c r="H560" t="n">
        <v>0</v>
      </c>
      <c r="I560" t="n">
        <v>0</v>
      </c>
      <c r="J560" t="n">
        <v>0</v>
      </c>
      <c r="K560" t="n">
        <v>0</v>
      </c>
      <c r="L560" t="n">
        <v>0</v>
      </c>
      <c r="M560">
        <f>F560+G560+H560+K560-I560-J560-L560</f>
        <v/>
      </c>
      <c r="N560" t="inlineStr">
        <is>
          <t>NO APLICA</t>
        </is>
      </c>
      <c r="O560" t="n">
        <v>5</v>
      </c>
      <c r="P560">
        <f>IF(M560&lt;0, "ERROR: SOBREGIRO", IF(M560=0, "SIN EXISTENCIAS", IF(M560&lt;=O560, "STOCK BAJO", "STOCK NORMAL")))</f>
        <v/>
      </c>
    </row>
    <row r="561">
      <c r="A561" t="n">
        <v>35506</v>
      </c>
      <c r="B561" t="inlineStr">
        <is>
          <t>CHAZO MARIPOSA PLASTICO BEIGE 5/16"</t>
        </is>
      </c>
      <c r="C561" t="inlineStr">
        <is>
          <t>Tornilleria</t>
        </is>
      </c>
      <c r="D561" t="inlineStr">
        <is>
          <t>Unidad</t>
        </is>
      </c>
      <c r="E561" t="inlineStr">
        <is>
          <t>CDS</t>
        </is>
      </c>
      <c r="F561" t="n">
        <v>0</v>
      </c>
      <c r="G561" t="n">
        <v>0</v>
      </c>
      <c r="H561" t="n">
        <v>0</v>
      </c>
      <c r="I561" t="n">
        <v>0</v>
      </c>
      <c r="J561" t="n">
        <v>0</v>
      </c>
      <c r="K561" t="n">
        <v>0</v>
      </c>
      <c r="L561" t="n">
        <v>0</v>
      </c>
      <c r="M561">
        <f>F561+G561+H561+K561-I561-J561-L561</f>
        <v/>
      </c>
      <c r="N561" t="inlineStr">
        <is>
          <t>NO APLICA</t>
        </is>
      </c>
      <c r="O561" t="n">
        <v>5</v>
      </c>
      <c r="P561">
        <f>IF(M561&lt;0, "ERROR: SOBREGIRO", IF(M561=0, "SIN EXISTENCIAS", IF(M561&lt;=O561, "STOCK BAJO", "STOCK NORMAL")))</f>
        <v/>
      </c>
    </row>
    <row r="562">
      <c r="A562" t="n">
        <v>35509</v>
      </c>
      <c r="B562" t="inlineStr">
        <is>
          <t>BROCA ESCALONADA 1/8"</t>
        </is>
      </c>
      <c r="C562" t="inlineStr">
        <is>
          <t>Materiales</t>
        </is>
      </c>
      <c r="D562" t="inlineStr">
        <is>
          <t>Unidad</t>
        </is>
      </c>
      <c r="E562" t="inlineStr">
        <is>
          <t>CDS</t>
        </is>
      </c>
      <c r="F562" t="n">
        <v>0</v>
      </c>
      <c r="G562" t="n">
        <v>0</v>
      </c>
      <c r="H562" t="n">
        <v>0</v>
      </c>
      <c r="I562" t="n">
        <v>0</v>
      </c>
      <c r="J562" t="n">
        <v>0</v>
      </c>
      <c r="K562" t="n">
        <v>0</v>
      </c>
      <c r="L562" t="n">
        <v>0</v>
      </c>
      <c r="M562">
        <f>F562+G562+H562+K562-I562-J562-L562</f>
        <v/>
      </c>
      <c r="N562" t="inlineStr">
        <is>
          <t>NO APLICA</t>
        </is>
      </c>
      <c r="O562" t="n">
        <v>5</v>
      </c>
      <c r="P562">
        <f>IF(M562&lt;0, "ERROR: SOBREGIRO", IF(M562=0, "SIN EXISTENCIAS", IF(M562&lt;=O562, "STOCK BAJO", "STOCK NORMAL")))</f>
        <v/>
      </c>
    </row>
    <row r="563">
      <c r="A563" t="n">
        <v>35518</v>
      </c>
      <c r="B563" t="inlineStr">
        <is>
          <t>TORNILLO M8X45</t>
        </is>
      </c>
      <c r="C563" t="inlineStr">
        <is>
          <t>Tornilleria</t>
        </is>
      </c>
      <c r="D563" t="inlineStr">
        <is>
          <t>Unidad</t>
        </is>
      </c>
      <c r="E563" t="inlineStr">
        <is>
          <t>CDS</t>
        </is>
      </c>
      <c r="F563" t="n">
        <v>0</v>
      </c>
      <c r="G563" t="n">
        <v>0</v>
      </c>
      <c r="H563" t="n">
        <v>0</v>
      </c>
      <c r="I563" t="n">
        <v>0</v>
      </c>
      <c r="J563" t="n">
        <v>0</v>
      </c>
      <c r="K563" t="n">
        <v>0</v>
      </c>
      <c r="L563" t="n">
        <v>0</v>
      </c>
      <c r="M563">
        <f>F563+G563+H563+K563-I563-J563-L563</f>
        <v/>
      </c>
      <c r="N563" t="inlineStr">
        <is>
          <t>NO APLICA</t>
        </is>
      </c>
      <c r="O563" t="n">
        <v>5</v>
      </c>
      <c r="P563">
        <f>IF(M563&lt;0, "ERROR: SOBREGIRO", IF(M563=0, "SIN EXISTENCIAS", IF(M563&lt;=O563, "STOCK BAJO", "STOCK NORMAL")))</f>
        <v/>
      </c>
    </row>
    <row r="564">
      <c r="A564" t="n">
        <v>35584</v>
      </c>
      <c r="B564" t="inlineStr">
        <is>
          <t>BROCA SDS PLUS PARA CONCRETO 1/4"</t>
        </is>
      </c>
      <c r="C564" t="inlineStr">
        <is>
          <t>Materiales</t>
        </is>
      </c>
      <c r="D564" t="inlineStr">
        <is>
          <t>Unidad</t>
        </is>
      </c>
      <c r="E564" t="inlineStr">
        <is>
          <t>CDS</t>
        </is>
      </c>
      <c r="F564" t="n">
        <v>0</v>
      </c>
      <c r="G564" t="n">
        <v>0</v>
      </c>
      <c r="H564" t="n">
        <v>0</v>
      </c>
      <c r="I564" t="n">
        <v>0</v>
      </c>
      <c r="J564" t="n">
        <v>0</v>
      </c>
      <c r="K564" t="n">
        <v>0</v>
      </c>
      <c r="L564" t="n">
        <v>0</v>
      </c>
      <c r="M564">
        <f>F564+G564+H564+K564-I564-J564-L564</f>
        <v/>
      </c>
      <c r="N564" t="inlineStr">
        <is>
          <t>NO APLICA</t>
        </is>
      </c>
      <c r="O564" t="n">
        <v>5</v>
      </c>
      <c r="P564">
        <f>IF(M564&lt;0, "ERROR: SOBREGIRO", IF(M564=0, "SIN EXISTENCIAS", IF(M564&lt;=O564, "STOCK BAJO", "STOCK NORMAL")))</f>
        <v/>
      </c>
    </row>
    <row r="565">
      <c r="A565" t="n">
        <v>35589</v>
      </c>
      <c r="B565" t="inlineStr">
        <is>
          <t>ADAPTADOR IMPACTO CUADRANTE DE 5/16</t>
        </is>
      </c>
      <c r="C565" t="inlineStr">
        <is>
          <t>Materiales</t>
        </is>
      </c>
      <c r="D565" t="inlineStr">
        <is>
          <t>Unidad</t>
        </is>
      </c>
      <c r="E565" t="inlineStr">
        <is>
          <t>CDS</t>
        </is>
      </c>
      <c r="F565" t="n">
        <v>0</v>
      </c>
      <c r="G565" t="n">
        <v>0</v>
      </c>
      <c r="H565" t="n">
        <v>0</v>
      </c>
      <c r="I565" t="n">
        <v>0</v>
      </c>
      <c r="J565" t="n">
        <v>0</v>
      </c>
      <c r="K565" t="n">
        <v>0</v>
      </c>
      <c r="L565" t="n">
        <v>0</v>
      </c>
      <c r="M565">
        <f>F565+G565+H565+K565-I565-J565-L565</f>
        <v/>
      </c>
      <c r="N565" t="inlineStr">
        <is>
          <t>NO APLICA</t>
        </is>
      </c>
      <c r="O565" t="n">
        <v>5</v>
      </c>
      <c r="P565">
        <f>IF(M565&lt;0, "ERROR: SOBREGIRO", IF(M565=0, "SIN EXISTENCIAS", IF(M565&lt;=O565, "STOCK BAJO", "STOCK NORMAL")))</f>
        <v/>
      </c>
    </row>
    <row r="566">
      <c r="A566" t="n">
        <v>35782</v>
      </c>
      <c r="B566" t="inlineStr">
        <is>
          <t>BANDEJA PORTACABLES ESCALERA TIPO B 50X8</t>
        </is>
      </c>
      <c r="C566" t="inlineStr">
        <is>
          <t>Cableado</t>
        </is>
      </c>
      <c r="D566" t="inlineStr">
        <is>
          <t>Metro</t>
        </is>
      </c>
      <c r="E566" t="inlineStr">
        <is>
          <t>CDS</t>
        </is>
      </c>
      <c r="F566" t="n">
        <v>0</v>
      </c>
      <c r="G566" t="n">
        <v>0</v>
      </c>
      <c r="H566" t="n">
        <v>0</v>
      </c>
      <c r="I566" t="n">
        <v>0</v>
      </c>
      <c r="J566" t="n">
        <v>0</v>
      </c>
      <c r="K566" t="n">
        <v>0</v>
      </c>
      <c r="L566" t="n">
        <v>0</v>
      </c>
      <c r="M566">
        <f>F566+G566+H566+K566-I566-J566-L566</f>
        <v/>
      </c>
      <c r="N566" t="inlineStr">
        <is>
          <t>NO APLICA</t>
        </is>
      </c>
      <c r="O566" t="n">
        <v>5</v>
      </c>
      <c r="P566">
        <f>IF(M566&lt;0, "ERROR: SOBREGIRO", IF(M566=0, "SIN EXISTENCIAS", IF(M566&lt;=O566, "STOCK BAJO", "STOCK NORMAL")))</f>
        <v/>
      </c>
    </row>
    <row r="567">
      <c r="A567" t="n">
        <v>35783</v>
      </c>
      <c r="B567" t="inlineStr">
        <is>
          <t>TAPA SUPERIOR BANDEJA ESCALERA 50 POLIESTER</t>
        </is>
      </c>
      <c r="C567" t="inlineStr">
        <is>
          <t>Materiales</t>
        </is>
      </c>
      <c r="D567" t="inlineStr">
        <is>
          <t>Unidad</t>
        </is>
      </c>
      <c r="E567" t="inlineStr">
        <is>
          <t>CDS</t>
        </is>
      </c>
      <c r="F567" t="n">
        <v>0</v>
      </c>
      <c r="G567" t="n">
        <v>0</v>
      </c>
      <c r="H567" t="n">
        <v>0</v>
      </c>
      <c r="I567" t="n">
        <v>0</v>
      </c>
      <c r="J567" t="n">
        <v>0</v>
      </c>
      <c r="K567" t="n">
        <v>0</v>
      </c>
      <c r="L567" t="n">
        <v>0</v>
      </c>
      <c r="M567">
        <f>F567+G567+H567+K567-I567-J567-L567</f>
        <v/>
      </c>
      <c r="N567" t="inlineStr">
        <is>
          <t>NO APLICA</t>
        </is>
      </c>
      <c r="O567" t="n">
        <v>5</v>
      </c>
      <c r="P567">
        <f>IF(M567&lt;0, "ERROR: SOBREGIRO", IF(M567=0, "SIN EXISTENCIAS", IF(M567&lt;=O567, "STOCK BAJO", "STOCK NORMAL")))</f>
        <v/>
      </c>
    </row>
    <row r="568">
      <c r="A568" t="n">
        <v>36037</v>
      </c>
      <c r="B568" t="inlineStr">
        <is>
          <t>CHAZO EXPANSIVO METALICO 3/8" X 2"</t>
        </is>
      </c>
      <c r="C568" t="inlineStr">
        <is>
          <t>Tornilleria</t>
        </is>
      </c>
      <c r="D568" t="inlineStr">
        <is>
          <t>Unidad</t>
        </is>
      </c>
      <c r="E568" t="inlineStr">
        <is>
          <t>CDS</t>
        </is>
      </c>
      <c r="F568" t="n">
        <v>0</v>
      </c>
      <c r="G568" t="n">
        <v>0</v>
      </c>
      <c r="H568" t="n">
        <v>0</v>
      </c>
      <c r="I568" t="n">
        <v>0</v>
      </c>
      <c r="J568" t="n">
        <v>0</v>
      </c>
      <c r="K568" t="n">
        <v>0</v>
      </c>
      <c r="L568" t="n">
        <v>0</v>
      </c>
      <c r="M568">
        <f>F568+G568+H568+K568-I568-J568-L568</f>
        <v/>
      </c>
      <c r="N568" t="inlineStr">
        <is>
          <t>NO APLICA</t>
        </is>
      </c>
      <c r="O568" t="n">
        <v>5</v>
      </c>
      <c r="P568">
        <f>IF(M568&lt;0, "ERROR: SOBREGIRO", IF(M568=0, "SIN EXISTENCIAS", IF(M568&lt;=O568, "STOCK BAJO", "STOCK NORMAL")))</f>
        <v/>
      </c>
    </row>
    <row r="569">
      <c r="A569" t="n">
        <v>36039</v>
      </c>
      <c r="B569" t="inlineStr">
        <is>
          <t>WASA TROPICALIZADA 1/2"</t>
        </is>
      </c>
      <c r="C569" t="inlineStr">
        <is>
          <t>Materiales</t>
        </is>
      </c>
      <c r="D569" t="inlineStr">
        <is>
          <t>Unidad</t>
        </is>
      </c>
      <c r="E569" t="inlineStr">
        <is>
          <t>CDS</t>
        </is>
      </c>
      <c r="F569" t="n">
        <v>0</v>
      </c>
      <c r="G569" t="n">
        <v>0</v>
      </c>
      <c r="H569" t="n">
        <v>0</v>
      </c>
      <c r="I569" t="n">
        <v>0</v>
      </c>
      <c r="J569" t="n">
        <v>0</v>
      </c>
      <c r="K569" t="n">
        <v>0</v>
      </c>
      <c r="L569" t="n">
        <v>0</v>
      </c>
      <c r="M569">
        <f>F569+G569+H569+K569-I569-J569-L569</f>
        <v/>
      </c>
      <c r="N569" t="inlineStr">
        <is>
          <t>NO APLICA</t>
        </is>
      </c>
      <c r="O569" t="n">
        <v>5</v>
      </c>
      <c r="P569">
        <f>IF(M569&lt;0, "ERROR: SOBREGIRO", IF(M569=0, "SIN EXISTENCIAS", IF(M569&lt;=O569, "STOCK BAJO", "STOCK NORMAL")))</f>
        <v/>
      </c>
    </row>
    <row r="570">
      <c r="A570" t="n">
        <v>36043</v>
      </c>
      <c r="B570" t="inlineStr">
        <is>
          <t>TORNILLO HEXAGONAL INOXIDABLE  3/8" X 1"</t>
        </is>
      </c>
      <c r="C570" t="inlineStr">
        <is>
          <t>Tornilleria</t>
        </is>
      </c>
      <c r="D570" t="inlineStr">
        <is>
          <t>Unidad</t>
        </is>
      </c>
      <c r="E570" t="inlineStr">
        <is>
          <t>CDS</t>
        </is>
      </c>
      <c r="F570" t="n">
        <v>0</v>
      </c>
      <c r="G570" t="n">
        <v>0</v>
      </c>
      <c r="H570" t="n">
        <v>0</v>
      </c>
      <c r="I570" t="n">
        <v>0</v>
      </c>
      <c r="J570" t="n">
        <v>0</v>
      </c>
      <c r="K570" t="n">
        <v>0</v>
      </c>
      <c r="L570" t="n">
        <v>0</v>
      </c>
      <c r="M570">
        <f>F570+G570+H570+K570-I570-J570-L570</f>
        <v/>
      </c>
      <c r="N570" t="inlineStr">
        <is>
          <t>NO APLICA</t>
        </is>
      </c>
      <c r="O570" t="n">
        <v>5</v>
      </c>
      <c r="P570">
        <f>IF(M570&lt;0, "ERROR: SOBREGIRO", IF(M570=0, "SIN EXISTENCIAS", IF(M570&lt;=O570, "STOCK BAJO", "STOCK NORMAL")))</f>
        <v/>
      </c>
    </row>
    <row r="571">
      <c r="A571" t="n">
        <v>36268</v>
      </c>
      <c r="B571" t="inlineStr">
        <is>
          <t>COPA SIERRA MURO 2"</t>
        </is>
      </c>
      <c r="C571" t="inlineStr">
        <is>
          <t>Materiales</t>
        </is>
      </c>
      <c r="D571" t="inlineStr">
        <is>
          <t>Unidad</t>
        </is>
      </c>
      <c r="E571" t="inlineStr">
        <is>
          <t>CDS</t>
        </is>
      </c>
      <c r="F571" t="n">
        <v>0</v>
      </c>
      <c r="G571" t="n">
        <v>0</v>
      </c>
      <c r="H571" t="n">
        <v>0</v>
      </c>
      <c r="I571" t="n">
        <v>0</v>
      </c>
      <c r="J571" t="n">
        <v>0</v>
      </c>
      <c r="K571" t="n">
        <v>0</v>
      </c>
      <c r="L571" t="n">
        <v>0</v>
      </c>
      <c r="M571">
        <f>F571+G571+H571+K571-I571-J571-L571</f>
        <v/>
      </c>
      <c r="N571" t="inlineStr">
        <is>
          <t>NO APLICA</t>
        </is>
      </c>
      <c r="O571" t="n">
        <v>5</v>
      </c>
      <c r="P571">
        <f>IF(M571&lt;0, "ERROR: SOBREGIRO", IF(M571=0, "SIN EXISTENCIAS", IF(M571&lt;=O571, "STOCK BAJO", "STOCK NORMAL")))</f>
        <v/>
      </c>
    </row>
    <row r="572">
      <c r="A572" t="n">
        <v>36471</v>
      </c>
      <c r="B572" t="inlineStr">
        <is>
          <t>TAPA CAJA RAWELT 2X4 PARA TOMACORRIENTE DOBLE LEVITON</t>
        </is>
      </c>
      <c r="C572" t="inlineStr">
        <is>
          <t>Elementos electricos</t>
        </is>
      </c>
      <c r="D572" t="inlineStr">
        <is>
          <t>Caja</t>
        </is>
      </c>
      <c r="E572" t="inlineStr">
        <is>
          <t>CDS</t>
        </is>
      </c>
      <c r="F572" t="n">
        <v>0</v>
      </c>
      <c r="G572" t="n">
        <v>0</v>
      </c>
      <c r="H572" t="n">
        <v>0</v>
      </c>
      <c r="I572" t="n">
        <v>0</v>
      </c>
      <c r="J572" t="n">
        <v>0</v>
      </c>
      <c r="K572" t="n">
        <v>0</v>
      </c>
      <c r="L572" t="n">
        <v>0</v>
      </c>
      <c r="M572">
        <f>F572+G572+H572+K572-I572-J572-L572</f>
        <v/>
      </c>
      <c r="N572" t="inlineStr">
        <is>
          <t>NO APLICA</t>
        </is>
      </c>
      <c r="O572" t="n">
        <v>5</v>
      </c>
      <c r="P572">
        <f>IF(M572&lt;0, "ERROR: SOBREGIRO", IF(M572=0, "SIN EXISTENCIAS", IF(M572&lt;=O572, "STOCK BAJO", "STOCK NORMAL")))</f>
        <v/>
      </c>
    </row>
    <row r="573">
      <c r="A573" t="n">
        <v>36931</v>
      </c>
      <c r="B573" t="inlineStr">
        <is>
          <t>TOMACORRIENTE 125V 15A CAJA 2X4 INTEMPERIE RAWELT</t>
        </is>
      </c>
      <c r="C573" t="inlineStr">
        <is>
          <t>Elementos electricos</t>
        </is>
      </c>
      <c r="D573" t="inlineStr">
        <is>
          <t>Caja</t>
        </is>
      </c>
      <c r="E573" t="inlineStr">
        <is>
          <t>CDS</t>
        </is>
      </c>
      <c r="F573" t="n">
        <v>0</v>
      </c>
      <c r="G573" t="n">
        <v>0</v>
      </c>
      <c r="H573" t="n">
        <v>0</v>
      </c>
      <c r="I573" t="n">
        <v>0</v>
      </c>
      <c r="J573" t="n">
        <v>0</v>
      </c>
      <c r="K573" t="n">
        <v>0</v>
      </c>
      <c r="L573" t="n">
        <v>0</v>
      </c>
      <c r="M573">
        <f>F573+G573+H573+K573-I573-J573-L573</f>
        <v/>
      </c>
      <c r="N573" t="inlineStr">
        <is>
          <t>NO APLICA</t>
        </is>
      </c>
      <c r="O573" t="n">
        <v>5</v>
      </c>
      <c r="P573">
        <f>IF(M573&lt;0, "ERROR: SOBREGIRO", IF(M573=0, "SIN EXISTENCIAS", IF(M573&lt;=O573, "STOCK BAJO", "STOCK NORMAL")))</f>
        <v/>
      </c>
    </row>
    <row r="574">
      <c r="A574" t="n">
        <v>39250</v>
      </c>
      <c r="B574" t="inlineStr">
        <is>
          <t>TERMINAL BIMETALICA OJO 2/0 AWG HUECO 5/16" CILES</t>
        </is>
      </c>
      <c r="C574" t="inlineStr">
        <is>
          <t>Elementos electricos</t>
        </is>
      </c>
      <c r="D574" t="inlineStr">
        <is>
          <t>Unidad</t>
        </is>
      </c>
      <c r="E574" t="inlineStr">
        <is>
          <t>CDS</t>
        </is>
      </c>
      <c r="F574" t="n">
        <v>0</v>
      </c>
      <c r="G574" t="n">
        <v>0</v>
      </c>
      <c r="H574" t="n">
        <v>0</v>
      </c>
      <c r="I574" t="n">
        <v>0</v>
      </c>
      <c r="J574" t="n">
        <v>0</v>
      </c>
      <c r="K574" t="n">
        <v>0</v>
      </c>
      <c r="L574" t="n">
        <v>0</v>
      </c>
      <c r="M574">
        <f>F574+G574+H574+K574-I574-J574-L574</f>
        <v/>
      </c>
      <c r="N574" t="inlineStr">
        <is>
          <t>NO APLICA</t>
        </is>
      </c>
      <c r="O574" t="n">
        <v>5</v>
      </c>
      <c r="P574">
        <f>IF(M574&lt;0, "ERROR: SOBREGIRO", IF(M574=0, "SIN EXISTENCIAS", IF(M574&lt;=O574, "STOCK BAJO", "STOCK NORMAL")))</f>
        <v/>
      </c>
    </row>
    <row r="575">
      <c r="A575" t="n">
        <v>39253</v>
      </c>
      <c r="B575" t="inlineStr">
        <is>
          <t>TERMINAL BIMETALICA OJO 250 KCMIL AWG HUECO 5/16" CILES</t>
        </is>
      </c>
      <c r="C575" t="inlineStr">
        <is>
          <t>Elementos electricos</t>
        </is>
      </c>
      <c r="D575" t="inlineStr">
        <is>
          <t>Unidad</t>
        </is>
      </c>
      <c r="E575" t="inlineStr">
        <is>
          <t>CDS</t>
        </is>
      </c>
      <c r="F575" t="n">
        <v>0</v>
      </c>
      <c r="G575" t="n">
        <v>0</v>
      </c>
      <c r="H575" t="n">
        <v>0</v>
      </c>
      <c r="I575" t="n">
        <v>0</v>
      </c>
      <c r="J575" t="n">
        <v>0</v>
      </c>
      <c r="K575" t="n">
        <v>0</v>
      </c>
      <c r="L575" t="n">
        <v>0</v>
      </c>
      <c r="M575">
        <f>F575+G575+H575+K575-I575-J575-L575</f>
        <v/>
      </c>
      <c r="N575" t="inlineStr">
        <is>
          <t>NO APLICA</t>
        </is>
      </c>
      <c r="O575" t="n">
        <v>5</v>
      </c>
      <c r="P575">
        <f>IF(M575&lt;0, "ERROR: SOBREGIRO", IF(M575=0, "SIN EXISTENCIAS", IF(M575&lt;=O575, "STOCK BAJO", "STOCK NORMAL")))</f>
        <v/>
      </c>
    </row>
    <row r="576">
      <c r="A576" t="n">
        <v>39254</v>
      </c>
      <c r="B576" t="inlineStr">
        <is>
          <t>TERMINAL BIMETALICA OJO 500 KCMIL AWG HUECO 3/8" CILES</t>
        </is>
      </c>
      <c r="C576" t="inlineStr">
        <is>
          <t>Elementos electricos</t>
        </is>
      </c>
      <c r="D576" t="inlineStr">
        <is>
          <t>Unidad</t>
        </is>
      </c>
      <c r="E576" t="inlineStr">
        <is>
          <t>CDS</t>
        </is>
      </c>
      <c r="F576" t="n">
        <v>0</v>
      </c>
      <c r="G576" t="n">
        <v>0</v>
      </c>
      <c r="H576" t="n">
        <v>0</v>
      </c>
      <c r="I576" t="n">
        <v>0</v>
      </c>
      <c r="J576" t="n">
        <v>0</v>
      </c>
      <c r="K576" t="n">
        <v>0</v>
      </c>
      <c r="L576" t="n">
        <v>0</v>
      </c>
      <c r="M576">
        <f>F576+G576+H576+K576-I576-J576-L576</f>
        <v/>
      </c>
      <c r="N576" t="inlineStr">
        <is>
          <t>NO APLICA</t>
        </is>
      </c>
      <c r="O576" t="n">
        <v>5</v>
      </c>
      <c r="P576">
        <f>IF(M576&lt;0, "ERROR: SOBREGIRO", IF(M576=0, "SIN EXISTENCIAS", IF(M576&lt;=O576, "STOCK BAJO", "STOCK NORMAL")))</f>
        <v/>
      </c>
    </row>
    <row r="577">
      <c r="A577" t="n">
        <v>39260</v>
      </c>
      <c r="B577" t="inlineStr">
        <is>
          <t>TUERCA ACERO INOXIDABLE M8</t>
        </is>
      </c>
      <c r="C577" t="inlineStr">
        <is>
          <t>Tornilleria</t>
        </is>
      </c>
      <c r="D577" t="inlineStr">
        <is>
          <t>Unidad</t>
        </is>
      </c>
      <c r="E577" t="inlineStr">
        <is>
          <t>CDS</t>
        </is>
      </c>
      <c r="F577" t="n">
        <v>0</v>
      </c>
      <c r="G577" t="n">
        <v>0</v>
      </c>
      <c r="H577" t="n">
        <v>0</v>
      </c>
      <c r="I577" t="n">
        <v>0</v>
      </c>
      <c r="J577" t="n">
        <v>0</v>
      </c>
      <c r="K577" t="n">
        <v>0</v>
      </c>
      <c r="L577" t="n">
        <v>0</v>
      </c>
      <c r="M577">
        <f>F577+G577+H577+K577-I577-J577-L577</f>
        <v/>
      </c>
      <c r="N577" t="inlineStr">
        <is>
          <t>NO APLICA</t>
        </is>
      </c>
      <c r="O577" t="n">
        <v>5</v>
      </c>
      <c r="P577">
        <f>IF(M577&lt;0, "ERROR: SOBREGIRO", IF(M577=0, "SIN EXISTENCIAS", IF(M577&lt;=O577, "STOCK BAJO", "STOCK NORMAL")))</f>
        <v/>
      </c>
    </row>
    <row r="578">
      <c r="A578" t="n">
        <v>39261</v>
      </c>
      <c r="B578" t="inlineStr">
        <is>
          <t>EXTENSION ANTENA ALTA GANANCIA 5M</t>
        </is>
      </c>
      <c r="C578" t="inlineStr">
        <is>
          <t>Materiales</t>
        </is>
      </c>
      <c r="D578" t="inlineStr">
        <is>
          <t>Unidad</t>
        </is>
      </c>
      <c r="E578" t="inlineStr">
        <is>
          <t>CDS</t>
        </is>
      </c>
      <c r="F578" t="n">
        <v>0</v>
      </c>
      <c r="G578" t="n">
        <v>0</v>
      </c>
      <c r="H578" t="n">
        <v>0</v>
      </c>
      <c r="I578" t="n">
        <v>0</v>
      </c>
      <c r="J578" t="n">
        <v>0</v>
      </c>
      <c r="K578" t="n">
        <v>0</v>
      </c>
      <c r="L578" t="n">
        <v>0</v>
      </c>
      <c r="M578">
        <f>F578+G578+H578+K578-I578-J578-L578</f>
        <v/>
      </c>
      <c r="N578" t="inlineStr">
        <is>
          <t>NO APLICA</t>
        </is>
      </c>
      <c r="O578" t="n">
        <v>5</v>
      </c>
      <c r="P578">
        <f>IF(M578&lt;0, "ERROR: SOBREGIRO", IF(M578=0, "SIN EXISTENCIAS", IF(M578&lt;=O578, "STOCK BAJO", "STOCK NORMAL")))</f>
        <v/>
      </c>
    </row>
    <row r="579">
      <c r="A579" t="n">
        <v>39391</v>
      </c>
      <c r="B579" t="inlineStr">
        <is>
          <t>PLATINA DE UNION BANDEJA GALVANIZADA EN CALIENTE 8CM</t>
        </is>
      </c>
      <c r="C579" t="inlineStr">
        <is>
          <t>Materiales</t>
        </is>
      </c>
      <c r="D579" t="inlineStr">
        <is>
          <t>Unidad</t>
        </is>
      </c>
      <c r="E579" t="inlineStr">
        <is>
          <t>CDS</t>
        </is>
      </c>
      <c r="F579" t="n">
        <v>0</v>
      </c>
      <c r="G579" t="n">
        <v>0</v>
      </c>
      <c r="H579" t="n">
        <v>0</v>
      </c>
      <c r="I579" t="n">
        <v>0</v>
      </c>
      <c r="J579" t="n">
        <v>0</v>
      </c>
      <c r="K579" t="n">
        <v>0</v>
      </c>
      <c r="L579" t="n">
        <v>0</v>
      </c>
      <c r="M579">
        <f>F579+G579+H579+K579-I579-J579-L579</f>
        <v/>
      </c>
      <c r="N579" t="inlineStr">
        <is>
          <t>NO APLICA</t>
        </is>
      </c>
      <c r="O579" t="n">
        <v>5</v>
      </c>
      <c r="P579">
        <f>IF(M579&lt;0, "ERROR: SOBREGIRO", IF(M579=0, "SIN EXISTENCIAS", IF(M579&lt;=O579, "STOCK BAJO", "STOCK NORMAL")))</f>
        <v/>
      </c>
    </row>
    <row r="580">
      <c r="A580" t="n">
        <v>39410</v>
      </c>
      <c r="B580" t="inlineStr">
        <is>
          <t>TAPA FINAL BANDEJA ESCALERA 10X8 CM GALVANIZADA EN CALIENTE</t>
        </is>
      </c>
      <c r="C580" t="inlineStr">
        <is>
          <t>Materiales</t>
        </is>
      </c>
      <c r="D580" t="inlineStr">
        <is>
          <t>Unidad</t>
        </is>
      </c>
      <c r="E580" t="inlineStr">
        <is>
          <t>CDS</t>
        </is>
      </c>
      <c r="F580" t="n">
        <v>0</v>
      </c>
      <c r="G580" t="n">
        <v>0</v>
      </c>
      <c r="H580" t="n">
        <v>0</v>
      </c>
      <c r="I580" t="n">
        <v>0</v>
      </c>
      <c r="J580" t="n">
        <v>0</v>
      </c>
      <c r="K580" t="n">
        <v>0</v>
      </c>
      <c r="L580" t="n">
        <v>0</v>
      </c>
      <c r="M580">
        <f>F580+G580+H580+K580-I580-J580-L580</f>
        <v/>
      </c>
      <c r="N580" t="inlineStr">
        <is>
          <t>NO APLICA</t>
        </is>
      </c>
      <c r="O580" t="n">
        <v>5</v>
      </c>
      <c r="P580">
        <f>IF(M580&lt;0, "ERROR: SOBREGIRO", IF(M580=0, "SIN EXISTENCIAS", IF(M580&lt;=O580, "STOCK BAJO", "STOCK NORMAL")))</f>
        <v/>
      </c>
    </row>
    <row r="581">
      <c r="A581" t="n">
        <v>39413</v>
      </c>
      <c r="B581" t="inlineStr">
        <is>
          <t>TAPA FINAL BANDEJA ESCALERA 20X8 CM GALVANIZADA EN CALIENTE</t>
        </is>
      </c>
      <c r="C581" t="inlineStr">
        <is>
          <t>Materiales</t>
        </is>
      </c>
      <c r="D581" t="inlineStr">
        <is>
          <t>Unidad</t>
        </is>
      </c>
      <c r="E581" t="inlineStr">
        <is>
          <t>CDS</t>
        </is>
      </c>
      <c r="F581" t="n">
        <v>0</v>
      </c>
      <c r="G581" t="n">
        <v>0</v>
      </c>
      <c r="H581" t="n">
        <v>0</v>
      </c>
      <c r="I581" t="n">
        <v>0</v>
      </c>
      <c r="J581" t="n">
        <v>0</v>
      </c>
      <c r="K581" t="n">
        <v>0</v>
      </c>
      <c r="L581" t="n">
        <v>0</v>
      </c>
      <c r="M581">
        <f>F581+G581+H581+K581-I581-J581-L581</f>
        <v/>
      </c>
      <c r="N581" t="inlineStr">
        <is>
          <t>NO APLICA</t>
        </is>
      </c>
      <c r="O581" t="n">
        <v>5</v>
      </c>
      <c r="P581">
        <f>IF(M581&lt;0, "ERROR: SOBREGIRO", IF(M581=0, "SIN EXISTENCIAS", IF(M581&lt;=O581, "STOCK BAJO", "STOCK NORMAL")))</f>
        <v/>
      </c>
    </row>
    <row r="582">
      <c r="A582" t="n">
        <v>39422</v>
      </c>
      <c r="B582" t="inlineStr">
        <is>
          <t>TAPA FINAL BANDEJA ESCALERA 50X8 CM GALVANIZADA EN CALIENTE</t>
        </is>
      </c>
      <c r="C582" t="inlineStr">
        <is>
          <t>Materiales</t>
        </is>
      </c>
      <c r="D582" t="inlineStr">
        <is>
          <t>Unidad</t>
        </is>
      </c>
      <c r="E582" t="inlineStr">
        <is>
          <t>CDS</t>
        </is>
      </c>
      <c r="F582" t="n">
        <v>0</v>
      </c>
      <c r="G582" t="n">
        <v>0</v>
      </c>
      <c r="H582" t="n">
        <v>0</v>
      </c>
      <c r="I582" t="n">
        <v>0</v>
      </c>
      <c r="J582" t="n">
        <v>0</v>
      </c>
      <c r="K582" t="n">
        <v>0</v>
      </c>
      <c r="L582" t="n">
        <v>0</v>
      </c>
      <c r="M582">
        <f>F582+G582+H582+K582-I582-J582-L582</f>
        <v/>
      </c>
      <c r="N582" t="inlineStr">
        <is>
          <t>NO APLICA</t>
        </is>
      </c>
      <c r="O582" t="n">
        <v>5</v>
      </c>
      <c r="P582">
        <f>IF(M582&lt;0, "ERROR: SOBREGIRO", IF(M582=0, "SIN EXISTENCIAS", IF(M582&lt;=O582, "STOCK BAJO", "STOCK NORMAL")))</f>
        <v/>
      </c>
    </row>
    <row r="583">
      <c r="A583" t="n">
        <v>39712</v>
      </c>
      <c r="B583" t="inlineStr">
        <is>
          <t>BANDEJA PORTACABLES ESCALERA TIPO A 30X8 GALVANIZADA EN CALIENTE</t>
        </is>
      </c>
      <c r="C583" t="inlineStr">
        <is>
          <t>Cableado</t>
        </is>
      </c>
      <c r="D583" t="inlineStr">
        <is>
          <t>Metro</t>
        </is>
      </c>
      <c r="E583" t="inlineStr">
        <is>
          <t>CDS</t>
        </is>
      </c>
      <c r="F583" t="n">
        <v>0</v>
      </c>
      <c r="G583" t="n">
        <v>0</v>
      </c>
      <c r="H583" t="n">
        <v>0</v>
      </c>
      <c r="I583" t="n">
        <v>0</v>
      </c>
      <c r="J583" t="n">
        <v>0</v>
      </c>
      <c r="K583" t="n">
        <v>0</v>
      </c>
      <c r="L583" t="n">
        <v>0</v>
      </c>
      <c r="M583">
        <f>F583+G583+H583+K583-I583-J583-L583</f>
        <v/>
      </c>
      <c r="N583" t="inlineStr">
        <is>
          <t>NO APLICA</t>
        </is>
      </c>
      <c r="O583" t="n">
        <v>5</v>
      </c>
      <c r="P583">
        <f>IF(M583&lt;0, "ERROR: SOBREGIRO", IF(M583=0, "SIN EXISTENCIAS", IF(M583&lt;=O583, "STOCK BAJO", "STOCK NORMAL")))</f>
        <v/>
      </c>
    </row>
    <row r="584">
      <c r="A584" t="n">
        <v>39713</v>
      </c>
      <c r="B584" t="inlineStr">
        <is>
          <t>BANDEJA PORTACABLES ESCALERA TIPO A 50X8 GALVANIZADA EN CALIENTE</t>
        </is>
      </c>
      <c r="C584" t="inlineStr">
        <is>
          <t>Cableado</t>
        </is>
      </c>
      <c r="D584" t="inlineStr">
        <is>
          <t>Metro</t>
        </is>
      </c>
      <c r="E584" t="inlineStr">
        <is>
          <t>CDS</t>
        </is>
      </c>
      <c r="F584" t="n">
        <v>0</v>
      </c>
      <c r="G584" t="n">
        <v>0</v>
      </c>
      <c r="H584" t="n">
        <v>0</v>
      </c>
      <c r="I584" t="n">
        <v>0</v>
      </c>
      <c r="J584" t="n">
        <v>0</v>
      </c>
      <c r="K584" t="n">
        <v>0</v>
      </c>
      <c r="L584" t="n">
        <v>0</v>
      </c>
      <c r="M584">
        <f>F584+G584+H584+K584-I584-J584-L584</f>
        <v/>
      </c>
      <c r="N584" t="inlineStr">
        <is>
          <t>NO APLICA</t>
        </is>
      </c>
      <c r="O584" t="n">
        <v>5</v>
      </c>
      <c r="P584">
        <f>IF(M584&lt;0, "ERROR: SOBREGIRO", IF(M584=0, "SIN EXISTENCIAS", IF(M584&lt;=O584, "STOCK BAJO", "STOCK NORMAL")))</f>
        <v/>
      </c>
    </row>
    <row r="585">
      <c r="A585" t="n">
        <v>39753</v>
      </c>
      <c r="B585" t="inlineStr">
        <is>
          <t>TERMINAL BIMETALICA OJO 6 AWG HUECO 3/16" CILES</t>
        </is>
      </c>
      <c r="C585" t="inlineStr">
        <is>
          <t>Elementos electricos</t>
        </is>
      </c>
      <c r="D585" t="inlineStr">
        <is>
          <t>Unidad</t>
        </is>
      </c>
      <c r="E585" t="inlineStr">
        <is>
          <t>CDS</t>
        </is>
      </c>
      <c r="F585" t="n">
        <v>0</v>
      </c>
      <c r="G585" t="n">
        <v>0</v>
      </c>
      <c r="H585" t="n">
        <v>0</v>
      </c>
      <c r="I585" t="n">
        <v>0</v>
      </c>
      <c r="J585" t="n">
        <v>0</v>
      </c>
      <c r="K585" t="n">
        <v>0</v>
      </c>
      <c r="L585" t="n">
        <v>0</v>
      </c>
      <c r="M585">
        <f>F585+G585+H585+K585-I585-J585-L585</f>
        <v/>
      </c>
      <c r="N585" t="inlineStr">
        <is>
          <t>NO APLICA</t>
        </is>
      </c>
      <c r="O585" t="n">
        <v>5</v>
      </c>
      <c r="P585">
        <f>IF(M585&lt;0, "ERROR: SOBREGIRO", IF(M585=0, "SIN EXISTENCIAS", IF(M585&lt;=O585, "STOCK BAJO", "STOCK NORMAL")))</f>
        <v/>
      </c>
    </row>
    <row r="586">
      <c r="A586" t="n">
        <v>39795</v>
      </c>
      <c r="B586" t="inlineStr">
        <is>
          <t>JINKO 580WP</t>
        </is>
      </c>
      <c r="C586" t="inlineStr">
        <is>
          <t>Materiales</t>
        </is>
      </c>
      <c r="D586" t="inlineStr">
        <is>
          <t>Unidad</t>
        </is>
      </c>
      <c r="E586" t="inlineStr">
        <is>
          <t>CDS</t>
        </is>
      </c>
      <c r="F586" t="n">
        <v>0</v>
      </c>
      <c r="G586" t="n">
        <v>0</v>
      </c>
      <c r="H586" t="n">
        <v>0</v>
      </c>
      <c r="I586" t="n">
        <v>0</v>
      </c>
      <c r="J586" t="n">
        <v>0</v>
      </c>
      <c r="K586" t="n">
        <v>0</v>
      </c>
      <c r="L586" t="n">
        <v>0</v>
      </c>
      <c r="M586">
        <f>F586+G586+H586+K586-I586-J586-L586</f>
        <v/>
      </c>
      <c r="N586" t="inlineStr">
        <is>
          <t>NO APLICA</t>
        </is>
      </c>
      <c r="O586" t="n">
        <v>5</v>
      </c>
      <c r="P586">
        <f>IF(M586&lt;0, "ERROR: SOBREGIRO", IF(M586=0, "SIN EXISTENCIAS", IF(M586&lt;=O586, "STOCK BAJO", "STOCK NORMAL")))</f>
        <v/>
      </c>
    </row>
    <row r="587">
      <c r="A587" t="n">
        <v>39813</v>
      </c>
      <c r="B587" t="inlineStr">
        <is>
          <t>BANDEJA PORTACABLES ESCALERA TIPO A 40X8 GALVANIZADO EN CALIENTE</t>
        </is>
      </c>
      <c r="C587" t="inlineStr">
        <is>
          <t>Cableado</t>
        </is>
      </c>
      <c r="D587" t="inlineStr">
        <is>
          <t>Metro</t>
        </is>
      </c>
      <c r="E587" t="inlineStr">
        <is>
          <t>CDS</t>
        </is>
      </c>
      <c r="F587" t="n">
        <v>0</v>
      </c>
      <c r="G587" t="n">
        <v>0</v>
      </c>
      <c r="H587" t="n">
        <v>0</v>
      </c>
      <c r="I587" t="n">
        <v>0</v>
      </c>
      <c r="J587" t="n">
        <v>0</v>
      </c>
      <c r="K587" t="n">
        <v>0</v>
      </c>
      <c r="L587" t="n">
        <v>0</v>
      </c>
      <c r="M587">
        <f>F587+G587+H587+K587-I587-J587-L587</f>
        <v/>
      </c>
      <c r="N587" t="inlineStr">
        <is>
          <t>NO APLICA</t>
        </is>
      </c>
      <c r="O587" t="n">
        <v>5</v>
      </c>
      <c r="P587">
        <f>IF(M587&lt;0, "ERROR: SOBREGIRO", IF(M587=0, "SIN EXISTENCIAS", IF(M587&lt;=O587, "STOCK BAJO", "STOCK NORMAL")))</f>
        <v/>
      </c>
    </row>
    <row r="588">
      <c r="A588" t="n">
        <v>40031</v>
      </c>
      <c r="B588" t="inlineStr">
        <is>
          <t>TAPA PARA TOMA NEMA L5-30R DE INCRUSTAR LEVITON</t>
        </is>
      </c>
      <c r="C588" t="inlineStr">
        <is>
          <t>Elementos electricos</t>
        </is>
      </c>
      <c r="D588" t="inlineStr">
        <is>
          <t>Unidad</t>
        </is>
      </c>
      <c r="E588" t="inlineStr">
        <is>
          <t>CDS</t>
        </is>
      </c>
      <c r="F588" t="n">
        <v>0</v>
      </c>
      <c r="G588" t="n">
        <v>0</v>
      </c>
      <c r="H588" t="n">
        <v>0</v>
      </c>
      <c r="I588" t="n">
        <v>0</v>
      </c>
      <c r="J588" t="n">
        <v>0</v>
      </c>
      <c r="K588" t="n">
        <v>0</v>
      </c>
      <c r="L588" t="n">
        <v>0</v>
      </c>
      <c r="M588">
        <f>F588+G588+H588+K588-I588-J588-L588</f>
        <v/>
      </c>
      <c r="N588" t="inlineStr">
        <is>
          <t>NO APLICA</t>
        </is>
      </c>
      <c r="O588" t="n">
        <v>5</v>
      </c>
      <c r="P588">
        <f>IF(M588&lt;0, "ERROR: SOBREGIRO", IF(M588=0, "SIN EXISTENCIAS", IF(M588&lt;=O588, "STOCK BAJO", "STOCK NORMAL")))</f>
        <v/>
      </c>
    </row>
    <row r="589">
      <c r="A589" t="n">
        <v>40036</v>
      </c>
      <c r="B589" t="inlineStr">
        <is>
          <t>CAJA DE PASO PLASTICA 10X10X7</t>
        </is>
      </c>
      <c r="C589" t="inlineStr">
        <is>
          <t>Materiales</t>
        </is>
      </c>
      <c r="D589" t="inlineStr">
        <is>
          <t>Caja</t>
        </is>
      </c>
      <c r="E589" t="inlineStr">
        <is>
          <t>CDS</t>
        </is>
      </c>
      <c r="F589" t="n">
        <v>0</v>
      </c>
      <c r="G589" t="n">
        <v>0</v>
      </c>
      <c r="H589" t="n">
        <v>0</v>
      </c>
      <c r="I589" t="n">
        <v>0</v>
      </c>
      <c r="J589" t="n">
        <v>0</v>
      </c>
      <c r="K589" t="n">
        <v>0</v>
      </c>
      <c r="L589" t="n">
        <v>0</v>
      </c>
      <c r="M589">
        <f>F589+G589+H589+K589-I589-J589-L589</f>
        <v/>
      </c>
      <c r="N589" t="inlineStr">
        <is>
          <t>NO APLICA</t>
        </is>
      </c>
      <c r="O589" t="n">
        <v>5</v>
      </c>
      <c r="P589">
        <f>IF(M589&lt;0, "ERROR: SOBREGIRO", IF(M589=0, "SIN EXISTENCIAS", IF(M589&lt;=O589, "STOCK BAJO", "STOCK NORMAL")))</f>
        <v/>
      </c>
    </row>
    <row r="590">
      <c r="A590" t="n">
        <v>40090</v>
      </c>
      <c r="B590" t="inlineStr">
        <is>
          <t>TERMINAL COBRE OJO #8 HUECO 1/4"</t>
        </is>
      </c>
      <c r="C590" t="inlineStr">
        <is>
          <t>Elementos electricos</t>
        </is>
      </c>
      <c r="D590" t="inlineStr">
        <is>
          <t>Unidad</t>
        </is>
      </c>
      <c r="E590" t="inlineStr">
        <is>
          <t>CDS</t>
        </is>
      </c>
      <c r="F590" t="n">
        <v>0</v>
      </c>
      <c r="G590" t="n">
        <v>0</v>
      </c>
      <c r="H590" t="n">
        <v>0</v>
      </c>
      <c r="I590" t="n">
        <v>0</v>
      </c>
      <c r="J590" t="n">
        <v>0</v>
      </c>
      <c r="K590" t="n">
        <v>0</v>
      </c>
      <c r="L590" t="n">
        <v>0</v>
      </c>
      <c r="M590">
        <f>F590+G590+H590+K590-I590-J590-L590</f>
        <v/>
      </c>
      <c r="N590" t="inlineStr">
        <is>
          <t>NO APLICA</t>
        </is>
      </c>
      <c r="O590" t="n">
        <v>5</v>
      </c>
      <c r="P590">
        <f>IF(M590&lt;0, "ERROR: SOBREGIRO", IF(M590=0, "SIN EXISTENCIAS", IF(M590&lt;=O590, "STOCK BAJO", "STOCK NORMAL")))</f>
        <v/>
      </c>
    </row>
    <row r="591">
      <c r="A591" t="n">
        <v>40091</v>
      </c>
      <c r="B591" t="inlineStr">
        <is>
          <t>TERMINAL COBRE OJO #4 HUECO 1/4"</t>
        </is>
      </c>
      <c r="C591" t="inlineStr">
        <is>
          <t>Elementos electricos</t>
        </is>
      </c>
      <c r="D591" t="inlineStr">
        <is>
          <t>Unidad</t>
        </is>
      </c>
      <c r="E591" t="inlineStr">
        <is>
          <t>CDS</t>
        </is>
      </c>
      <c r="F591" t="n">
        <v>0</v>
      </c>
      <c r="G591" t="n">
        <v>0</v>
      </c>
      <c r="H591" t="n">
        <v>0</v>
      </c>
      <c r="I591" t="n">
        <v>0</v>
      </c>
      <c r="J591" t="n">
        <v>0</v>
      </c>
      <c r="K591" t="n">
        <v>0</v>
      </c>
      <c r="L591" t="n">
        <v>0</v>
      </c>
      <c r="M591">
        <f>F591+G591+H591+K591-I591-J591-L591</f>
        <v/>
      </c>
      <c r="N591" t="inlineStr">
        <is>
          <t>NO APLICA</t>
        </is>
      </c>
      <c r="O591" t="n">
        <v>5</v>
      </c>
      <c r="P591">
        <f>IF(M591&lt;0, "ERROR: SOBREGIRO", IF(M591=0, "SIN EXISTENCIAS", IF(M591&lt;=O591, "STOCK BAJO", "STOCK NORMAL")))</f>
        <v/>
      </c>
    </row>
    <row r="592">
      <c r="A592" t="n">
        <v>40095</v>
      </c>
      <c r="B592" t="inlineStr">
        <is>
          <t>TAPA TOMA DOBLE PARA TOMA LEVITON BLANCA</t>
        </is>
      </c>
      <c r="C592" t="inlineStr">
        <is>
          <t>Elementos electricos</t>
        </is>
      </c>
      <c r="D592" t="inlineStr">
        <is>
          <t>Unidad</t>
        </is>
      </c>
      <c r="E592" t="inlineStr">
        <is>
          <t>CDS</t>
        </is>
      </c>
      <c r="F592" t="n">
        <v>0</v>
      </c>
      <c r="G592" t="n">
        <v>0</v>
      </c>
      <c r="H592" t="n">
        <v>0</v>
      </c>
      <c r="I592" t="n">
        <v>0</v>
      </c>
      <c r="J592" t="n">
        <v>0</v>
      </c>
      <c r="K592" t="n">
        <v>0</v>
      </c>
      <c r="L592" t="n">
        <v>0</v>
      </c>
      <c r="M592">
        <f>F592+G592+H592+K592-I592-J592-L592</f>
        <v/>
      </c>
      <c r="N592" t="inlineStr">
        <is>
          <t>NO APLICA</t>
        </is>
      </c>
      <c r="O592" t="n">
        <v>5</v>
      </c>
      <c r="P592">
        <f>IF(M592&lt;0, "ERROR: SOBREGIRO", IF(M592=0, "SIN EXISTENCIAS", IF(M592&lt;=O592, "STOCK BAJO", "STOCK NORMAL")))</f>
        <v/>
      </c>
    </row>
    <row r="593">
      <c r="A593" t="n">
        <v>40135</v>
      </c>
      <c r="B593" t="inlineStr">
        <is>
          <t>MICROINVERSOR HOYMILES HMS-1000-2T</t>
        </is>
      </c>
      <c r="C593" t="inlineStr">
        <is>
          <t>Materiales</t>
        </is>
      </c>
      <c r="D593" t="inlineStr">
        <is>
          <t>Unidad</t>
        </is>
      </c>
      <c r="E593" t="inlineStr">
        <is>
          <t>CDS</t>
        </is>
      </c>
      <c r="F593" t="n">
        <v>0</v>
      </c>
      <c r="G593" t="n">
        <v>0</v>
      </c>
      <c r="H593" t="n">
        <v>0</v>
      </c>
      <c r="I593" t="n">
        <v>0</v>
      </c>
      <c r="J593" t="n">
        <v>0</v>
      </c>
      <c r="K593" t="n">
        <v>0</v>
      </c>
      <c r="L593" t="n">
        <v>0</v>
      </c>
      <c r="M593">
        <f>F593+G593+H593+K593-I593-J593-L593</f>
        <v/>
      </c>
      <c r="N593" t="inlineStr">
        <is>
          <t>NO APLICA</t>
        </is>
      </c>
      <c r="O593" t="n">
        <v>5</v>
      </c>
      <c r="P593">
        <f>IF(M593&lt;0, "ERROR: SOBREGIRO", IF(M593=0, "SIN EXISTENCIAS", IF(M593&lt;=O593, "STOCK BAJO", "STOCK NORMAL")))</f>
        <v/>
      </c>
    </row>
    <row r="594">
      <c r="A594" t="n">
        <v>40136</v>
      </c>
      <c r="B594" t="inlineStr">
        <is>
          <t>MICROINVERSOR HOYMILES HMS-2000-4T</t>
        </is>
      </c>
      <c r="C594" t="inlineStr">
        <is>
          <t>Materiales</t>
        </is>
      </c>
      <c r="D594" t="inlineStr">
        <is>
          <t>Unidad</t>
        </is>
      </c>
      <c r="E594" t="inlineStr">
        <is>
          <t>CDS</t>
        </is>
      </c>
      <c r="F594" t="n">
        <v>0</v>
      </c>
      <c r="G594" t="n">
        <v>0</v>
      </c>
      <c r="H594" t="n">
        <v>0</v>
      </c>
      <c r="I594" t="n">
        <v>0</v>
      </c>
      <c r="J594" t="n">
        <v>0</v>
      </c>
      <c r="K594" t="n">
        <v>0</v>
      </c>
      <c r="L594" t="n">
        <v>0</v>
      </c>
      <c r="M594">
        <f>F594+G594+H594+K594-I594-J594-L594</f>
        <v/>
      </c>
      <c r="N594" t="inlineStr">
        <is>
          <t>NO APLICA</t>
        </is>
      </c>
      <c r="O594" t="n">
        <v>5</v>
      </c>
      <c r="P594">
        <f>IF(M594&lt;0, "ERROR: SOBREGIRO", IF(M594=0, "SIN EXISTENCIAS", IF(M594&lt;=O594, "STOCK BAJO", "STOCK NORMAL")))</f>
        <v/>
      </c>
    </row>
    <row r="595">
      <c r="A595" t="n">
        <v>40138</v>
      </c>
      <c r="B595" t="inlineStr">
        <is>
          <t>CAJA DE PASO METÁLICA 20 X 20 X 10 CON CHAPA DE LLAVE EJG</t>
        </is>
      </c>
      <c r="C595" t="inlineStr">
        <is>
          <t>Herramientas</t>
        </is>
      </c>
      <c r="D595" t="inlineStr">
        <is>
          <t>Caja</t>
        </is>
      </c>
      <c r="E595" t="inlineStr">
        <is>
          <t>CDS</t>
        </is>
      </c>
      <c r="F595" t="n">
        <v>0</v>
      </c>
      <c r="G595" t="n">
        <v>0</v>
      </c>
      <c r="H595" t="n">
        <v>0</v>
      </c>
      <c r="I595" t="n">
        <v>0</v>
      </c>
      <c r="J595" t="n">
        <v>0</v>
      </c>
      <c r="K595" t="n">
        <v>0</v>
      </c>
      <c r="L595" t="n">
        <v>0</v>
      </c>
      <c r="M595">
        <f>F595+G595+H595+K595-I595-J595-L595</f>
        <v/>
      </c>
      <c r="N595" t="inlineStr">
        <is>
          <t>NO APLICA</t>
        </is>
      </c>
      <c r="O595" t="n">
        <v>5</v>
      </c>
      <c r="P595">
        <f>IF(M595&lt;0, "ERROR: SOBREGIRO", IF(M595=0, "SIN EXISTENCIAS", IF(M595&lt;=O595, "STOCK BAJO", "STOCK NORMAL")))</f>
        <v/>
      </c>
    </row>
    <row r="596">
      <c r="A596" t="n">
        <v>40141</v>
      </c>
      <c r="B596" t="inlineStr">
        <is>
          <t>TAPA DEL EXTREMO DEL CABLE TRONCAL AC - HMS</t>
        </is>
      </c>
      <c r="C596" t="inlineStr">
        <is>
          <t>Cableado</t>
        </is>
      </c>
      <c r="D596" t="inlineStr">
        <is>
          <t>Metro</t>
        </is>
      </c>
      <c r="E596" t="inlineStr">
        <is>
          <t>CDS</t>
        </is>
      </c>
      <c r="F596" t="n">
        <v>0</v>
      </c>
      <c r="G596" t="n">
        <v>0</v>
      </c>
      <c r="H596" t="n">
        <v>0</v>
      </c>
      <c r="I596" t="n">
        <v>0</v>
      </c>
      <c r="J596" t="n">
        <v>0</v>
      </c>
      <c r="K596" t="n">
        <v>0</v>
      </c>
      <c r="L596" t="n">
        <v>0</v>
      </c>
      <c r="M596">
        <f>F596+G596+H596+K596-I596-J596-L596</f>
        <v/>
      </c>
      <c r="N596" t="inlineStr">
        <is>
          <t>NO APLICA</t>
        </is>
      </c>
      <c r="O596" t="n">
        <v>5</v>
      </c>
      <c r="P596">
        <f>IF(M596&lt;0, "ERROR: SOBREGIRO", IF(M596=0, "SIN EXISTENCIAS", IF(M596&lt;=O596, "STOCK BAJO", "STOCK NORMAL")))</f>
        <v/>
      </c>
    </row>
    <row r="597">
      <c r="A597" t="n">
        <v>40260</v>
      </c>
      <c r="B597" t="inlineStr">
        <is>
          <t>TERMINAL OJO PLASTICA 10-12 AWG 5/16"</t>
        </is>
      </c>
      <c r="C597" t="inlineStr">
        <is>
          <t>Elementos electricos</t>
        </is>
      </c>
      <c r="D597" t="inlineStr">
        <is>
          <t>Unidad</t>
        </is>
      </c>
      <c r="E597" t="inlineStr">
        <is>
          <t>CDS</t>
        </is>
      </c>
      <c r="F597" t="n">
        <v>0</v>
      </c>
      <c r="G597" t="n">
        <v>0</v>
      </c>
      <c r="H597" t="n">
        <v>0</v>
      </c>
      <c r="I597" t="n">
        <v>0</v>
      </c>
      <c r="J597" t="n">
        <v>0</v>
      </c>
      <c r="K597" t="n">
        <v>0</v>
      </c>
      <c r="L597" t="n">
        <v>0</v>
      </c>
      <c r="M597">
        <f>F597+G597+H597+K597-I597-J597-L597</f>
        <v/>
      </c>
      <c r="N597" t="inlineStr">
        <is>
          <t>NO APLICA</t>
        </is>
      </c>
      <c r="O597" t="n">
        <v>5</v>
      </c>
      <c r="P597">
        <f>IF(M597&lt;0, "ERROR: SOBREGIRO", IF(M597=0, "SIN EXISTENCIAS", IF(M597&lt;=O597, "STOCK BAJO", "STOCK NORMAL")))</f>
        <v/>
      </c>
    </row>
    <row r="598">
      <c r="A598" t="n">
        <v>40425</v>
      </c>
      <c r="B598" t="inlineStr">
        <is>
          <t>GABINETE PLÁSTICO IP65 KOWET  COD. 84360 REF. KLG 3321 343X348X216MM</t>
        </is>
      </c>
      <c r="C598" t="inlineStr">
        <is>
          <t>Materiales</t>
        </is>
      </c>
      <c r="D598" t="inlineStr">
        <is>
          <t>Unidad</t>
        </is>
      </c>
      <c r="E598" t="inlineStr">
        <is>
          <t>CDS</t>
        </is>
      </c>
      <c r="F598" t="n">
        <v>0</v>
      </c>
      <c r="G598" t="n">
        <v>0</v>
      </c>
      <c r="H598" t="n">
        <v>0</v>
      </c>
      <c r="I598" t="n">
        <v>0</v>
      </c>
      <c r="J598" t="n">
        <v>0</v>
      </c>
      <c r="K598" t="n">
        <v>0</v>
      </c>
      <c r="L598" t="n">
        <v>0</v>
      </c>
      <c r="M598">
        <f>F598+G598+H598+K598-I598-J598-L598</f>
        <v/>
      </c>
      <c r="N598" t="inlineStr">
        <is>
          <t>NO APLICA</t>
        </is>
      </c>
      <c r="O598" t="n">
        <v>5</v>
      </c>
      <c r="P598">
        <f>IF(M598&lt;0, "ERROR: SOBREGIRO", IF(M598=0, "SIN EXISTENCIAS", IF(M598&lt;=O598, "STOCK BAJO", "STOCK NORMAL")))</f>
        <v/>
      </c>
    </row>
    <row r="599">
      <c r="A599" t="n">
        <v>40436</v>
      </c>
      <c r="B599" t="inlineStr">
        <is>
          <t>CABLE TELDOR RS-422/485 2X2X22/7 AWG SF/FTP PVC/PVC</t>
        </is>
      </c>
      <c r="C599" t="inlineStr">
        <is>
          <t>Cableado</t>
        </is>
      </c>
      <c r="D599" t="inlineStr">
        <is>
          <t>Metro</t>
        </is>
      </c>
      <c r="E599" t="inlineStr">
        <is>
          <t>CDS</t>
        </is>
      </c>
      <c r="F599" t="n">
        <v>0</v>
      </c>
      <c r="G599" t="n">
        <v>0</v>
      </c>
      <c r="H599" t="n">
        <v>0</v>
      </c>
      <c r="I599" t="n">
        <v>0</v>
      </c>
      <c r="J599" t="n">
        <v>0</v>
      </c>
      <c r="K599" t="n">
        <v>0</v>
      </c>
      <c r="L599" t="n">
        <v>0</v>
      </c>
      <c r="M599">
        <f>F599+G599+H599+K599-I599-J599-L599</f>
        <v/>
      </c>
      <c r="N599" t="inlineStr">
        <is>
          <t>NO APLICA</t>
        </is>
      </c>
      <c r="O599" t="n">
        <v>5</v>
      </c>
      <c r="P599">
        <f>IF(M599&lt;0, "ERROR: SOBREGIRO", IF(M599=0, "SIN EXISTENCIAS", IF(M599&lt;=O599, "STOCK BAJO", "STOCK NORMAL")))</f>
        <v/>
      </c>
    </row>
    <row r="600">
      <c r="A600" t="n">
        <v>41079</v>
      </c>
      <c r="B600" t="inlineStr">
        <is>
          <t>CAJA DE PASO METALICA 20X20X15</t>
        </is>
      </c>
      <c r="C600" t="inlineStr">
        <is>
          <t>Materiales</t>
        </is>
      </c>
      <c r="D600" t="inlineStr">
        <is>
          <t>Caja</t>
        </is>
      </c>
      <c r="E600" t="inlineStr">
        <is>
          <t>CDS</t>
        </is>
      </c>
      <c r="F600" t="n">
        <v>0</v>
      </c>
      <c r="G600" t="n">
        <v>0</v>
      </c>
      <c r="H600" t="n">
        <v>0</v>
      </c>
      <c r="I600" t="n">
        <v>0</v>
      </c>
      <c r="J600" t="n">
        <v>0</v>
      </c>
      <c r="K600" t="n">
        <v>0</v>
      </c>
      <c r="L600" t="n">
        <v>0</v>
      </c>
      <c r="M600">
        <f>F600+G600+H600+K600-I600-J600-L600</f>
        <v/>
      </c>
      <c r="N600" t="inlineStr">
        <is>
          <t>NO APLICA</t>
        </is>
      </c>
      <c r="O600" t="n">
        <v>5</v>
      </c>
      <c r="P600">
        <f>IF(M600&lt;0, "ERROR: SOBREGIRO", IF(M600=0, "SIN EXISTENCIAS", IF(M600&lt;=O600, "STOCK BAJO", "STOCK NORMAL")))</f>
        <v/>
      </c>
    </row>
    <row r="601">
      <c r="A601" t="n">
        <v>41090</v>
      </c>
      <c r="B601" t="inlineStr">
        <is>
          <t>TERMOENCOGIBLE NEGRO 8 MM</t>
        </is>
      </c>
      <c r="C601" t="inlineStr">
        <is>
          <t>Materiales</t>
        </is>
      </c>
      <c r="D601" t="inlineStr">
        <is>
          <t>Unidad</t>
        </is>
      </c>
      <c r="E601" t="inlineStr">
        <is>
          <t>CDS</t>
        </is>
      </c>
      <c r="F601" t="n">
        <v>0</v>
      </c>
      <c r="G601" t="n">
        <v>0</v>
      </c>
      <c r="H601" t="n">
        <v>0</v>
      </c>
      <c r="I601" t="n">
        <v>0</v>
      </c>
      <c r="J601" t="n">
        <v>0</v>
      </c>
      <c r="K601" t="n">
        <v>0</v>
      </c>
      <c r="L601" t="n">
        <v>0</v>
      </c>
      <c r="M601">
        <f>F601+G601+H601+K601-I601-J601-L601</f>
        <v/>
      </c>
      <c r="N601" t="inlineStr">
        <is>
          <t>NO APLICA</t>
        </is>
      </c>
      <c r="O601" t="n">
        <v>5</v>
      </c>
      <c r="P601">
        <f>IF(M601&lt;0, "ERROR: SOBREGIRO", IF(M601=0, "SIN EXISTENCIAS", IF(M601&lt;=O601, "STOCK BAJO", "STOCK NORMAL")))</f>
        <v/>
      </c>
    </row>
    <row r="602">
      <c r="A602" t="n">
        <v>41094</v>
      </c>
      <c r="B602" t="inlineStr">
        <is>
          <t>BROCA ESCALONADA  1/8 - 1/2</t>
        </is>
      </c>
      <c r="C602" t="inlineStr">
        <is>
          <t>Materiales</t>
        </is>
      </c>
      <c r="D602" t="inlineStr">
        <is>
          <t>Unidad</t>
        </is>
      </c>
      <c r="E602" t="inlineStr">
        <is>
          <t>CDS</t>
        </is>
      </c>
      <c r="F602" t="n">
        <v>0</v>
      </c>
      <c r="G602" t="n">
        <v>0</v>
      </c>
      <c r="H602" t="n">
        <v>0</v>
      </c>
      <c r="I602" t="n">
        <v>0</v>
      </c>
      <c r="J602" t="n">
        <v>0</v>
      </c>
      <c r="K602" t="n">
        <v>0</v>
      </c>
      <c r="L602" t="n">
        <v>0</v>
      </c>
      <c r="M602">
        <f>F602+G602+H602+K602-I602-J602-L602</f>
        <v/>
      </c>
      <c r="N602" t="inlineStr">
        <is>
          <t>NO APLICA</t>
        </is>
      </c>
      <c r="O602" t="n">
        <v>5</v>
      </c>
      <c r="P602">
        <f>IF(M602&lt;0, "ERROR: SOBREGIRO", IF(M602=0, "SIN EXISTENCIAS", IF(M602&lt;=O602, "STOCK BAJO", "STOCK NORMAL")))</f>
        <v/>
      </c>
    </row>
    <row r="603">
      <c r="A603" t="n">
        <v>41095</v>
      </c>
      <c r="B603" t="inlineStr">
        <is>
          <t>BROCA ESCALONADA 1/4 - 3/4</t>
        </is>
      </c>
      <c r="C603" t="inlineStr">
        <is>
          <t>Materiales</t>
        </is>
      </c>
      <c r="D603" t="inlineStr">
        <is>
          <t>Unidad</t>
        </is>
      </c>
      <c r="E603" t="inlineStr">
        <is>
          <t>CDS</t>
        </is>
      </c>
      <c r="F603" t="n">
        <v>0</v>
      </c>
      <c r="G603" t="n">
        <v>0</v>
      </c>
      <c r="H603" t="n">
        <v>0</v>
      </c>
      <c r="I603" t="n">
        <v>0</v>
      </c>
      <c r="J603" t="n">
        <v>0</v>
      </c>
      <c r="K603" t="n">
        <v>0</v>
      </c>
      <c r="L603" t="n">
        <v>0</v>
      </c>
      <c r="M603">
        <f>F603+G603+H603+K603-I603-J603-L603</f>
        <v/>
      </c>
      <c r="N603" t="inlineStr">
        <is>
          <t>NO APLICA</t>
        </is>
      </c>
      <c r="O603" t="n">
        <v>5</v>
      </c>
      <c r="P603">
        <f>IF(M603&lt;0, "ERROR: SOBREGIRO", IF(M603=0, "SIN EXISTENCIAS", IF(M603&lt;=O603, "STOCK BAJO", "STOCK NORMAL")))</f>
        <v/>
      </c>
    </row>
    <row r="604">
      <c r="A604" t="n">
        <v>41096</v>
      </c>
      <c r="B604" t="inlineStr">
        <is>
          <t>BROCA ESCALONADA 3/16 - 7/8 - 3/8"</t>
        </is>
      </c>
      <c r="C604" t="inlineStr">
        <is>
          <t>Materiales</t>
        </is>
      </c>
      <c r="D604" t="inlineStr">
        <is>
          <t>Unidad</t>
        </is>
      </c>
      <c r="E604" t="inlineStr">
        <is>
          <t>CDS</t>
        </is>
      </c>
      <c r="F604" t="n">
        <v>0</v>
      </c>
      <c r="G604" t="n">
        <v>0</v>
      </c>
      <c r="H604" t="n">
        <v>0</v>
      </c>
      <c r="I604" t="n">
        <v>0</v>
      </c>
      <c r="J604" t="n">
        <v>0</v>
      </c>
      <c r="K604" t="n">
        <v>0</v>
      </c>
      <c r="L604" t="n">
        <v>0</v>
      </c>
      <c r="M604">
        <f>F604+G604+H604+K604-I604-J604-L604</f>
        <v/>
      </c>
      <c r="N604" t="inlineStr">
        <is>
          <t>NO APLICA</t>
        </is>
      </c>
      <c r="O604" t="n">
        <v>5</v>
      </c>
      <c r="P604">
        <f>IF(M604&lt;0, "ERROR: SOBREGIRO", IF(M604=0, "SIN EXISTENCIAS", IF(M604&lt;=O604, "STOCK BAJO", "STOCK NORMAL")))</f>
        <v/>
      </c>
    </row>
    <row r="605">
      <c r="A605" t="n">
        <v>41114</v>
      </c>
      <c r="B605" t="inlineStr">
        <is>
          <t>TERMINAL PIN HUECO 4 AWG</t>
        </is>
      </c>
      <c r="C605" t="inlineStr">
        <is>
          <t>Elementos electricos</t>
        </is>
      </c>
      <c r="D605" t="inlineStr">
        <is>
          <t>Unidad</t>
        </is>
      </c>
      <c r="E605" t="inlineStr">
        <is>
          <t>CDS</t>
        </is>
      </c>
      <c r="F605" t="n">
        <v>0</v>
      </c>
      <c r="G605" t="n">
        <v>0</v>
      </c>
      <c r="H605" t="n">
        <v>0</v>
      </c>
      <c r="I605" t="n">
        <v>0</v>
      </c>
      <c r="J605" t="n">
        <v>0</v>
      </c>
      <c r="K605" t="n">
        <v>0</v>
      </c>
      <c r="L605" t="n">
        <v>0</v>
      </c>
      <c r="M605">
        <f>F605+G605+H605+K605-I605-J605-L605</f>
        <v/>
      </c>
      <c r="N605" t="inlineStr">
        <is>
          <t>NO APLICA</t>
        </is>
      </c>
      <c r="O605" t="n">
        <v>5</v>
      </c>
      <c r="P605">
        <f>IF(M605&lt;0, "ERROR: SOBREGIRO", IF(M605=0, "SIN EXISTENCIAS", IF(M605&lt;=O605, "STOCK BAJO", "STOCK NORMAL")))</f>
        <v/>
      </c>
    </row>
    <row r="606">
      <c r="A606" t="n">
        <v>41121</v>
      </c>
      <c r="B606" t="inlineStr">
        <is>
          <t>TERMINAL BIMETALICA OJO 4/0 AWG HUECO 1/2" CILES</t>
        </is>
      </c>
      <c r="C606" t="inlineStr">
        <is>
          <t>Elementos electricos</t>
        </is>
      </c>
      <c r="D606" t="inlineStr">
        <is>
          <t>Unidad</t>
        </is>
      </c>
      <c r="E606" t="inlineStr">
        <is>
          <t>CDS</t>
        </is>
      </c>
      <c r="F606" t="n">
        <v>0</v>
      </c>
      <c r="G606" t="n">
        <v>0</v>
      </c>
      <c r="H606" t="n">
        <v>0</v>
      </c>
      <c r="I606" t="n">
        <v>0</v>
      </c>
      <c r="J606" t="n">
        <v>0</v>
      </c>
      <c r="K606" t="n">
        <v>0</v>
      </c>
      <c r="L606" t="n">
        <v>0</v>
      </c>
      <c r="M606">
        <f>F606+G606+H606+K606-I606-J606-L606</f>
        <v/>
      </c>
      <c r="N606" t="inlineStr">
        <is>
          <t>NO APLICA</t>
        </is>
      </c>
      <c r="O606" t="n">
        <v>5</v>
      </c>
      <c r="P606">
        <f>IF(M606&lt;0, "ERROR: SOBREGIRO", IF(M606=0, "SIN EXISTENCIAS", IF(M606&lt;=O606, "STOCK BAJO", "STOCK NORMAL")))</f>
        <v/>
      </c>
    </row>
    <row r="607">
      <c r="A607" t="n">
        <v>41224</v>
      </c>
      <c r="B607" t="inlineStr">
        <is>
          <t>TERMINAL OJO 350 KCMIL HUECO 1/"2</t>
        </is>
      </c>
      <c r="C607" t="inlineStr">
        <is>
          <t>Elementos electricos</t>
        </is>
      </c>
      <c r="D607" t="inlineStr">
        <is>
          <t>Unidad</t>
        </is>
      </c>
      <c r="E607" t="inlineStr">
        <is>
          <t>CDS</t>
        </is>
      </c>
      <c r="F607" t="n">
        <v>0</v>
      </c>
      <c r="G607" t="n">
        <v>0</v>
      </c>
      <c r="H607" t="n">
        <v>0</v>
      </c>
      <c r="I607" t="n">
        <v>0</v>
      </c>
      <c r="J607" t="n">
        <v>0</v>
      </c>
      <c r="K607" t="n">
        <v>0</v>
      </c>
      <c r="L607" t="n">
        <v>0</v>
      </c>
      <c r="M607">
        <f>F607+G607+H607+K607-I607-J607-L607</f>
        <v/>
      </c>
      <c r="N607" t="inlineStr">
        <is>
          <t>NO APLICA</t>
        </is>
      </c>
      <c r="O607" t="n">
        <v>5</v>
      </c>
      <c r="P607">
        <f>IF(M607&lt;0, "ERROR: SOBREGIRO", IF(M607=0, "SIN EXISTENCIAS", IF(M607&lt;=O607, "STOCK BAJO", "STOCK NORMAL")))</f>
        <v/>
      </c>
    </row>
    <row r="608">
      <c r="A608" t="n">
        <v>41225</v>
      </c>
      <c r="B608" t="inlineStr">
        <is>
          <t>TERMINAL BIMETALICA OJO 4/0 AWG HUECO 1/2"</t>
        </is>
      </c>
      <c r="C608" t="inlineStr">
        <is>
          <t>Elementos electricos</t>
        </is>
      </c>
      <c r="D608" t="inlineStr">
        <is>
          <t>Unidad</t>
        </is>
      </c>
      <c r="E608" t="inlineStr">
        <is>
          <t>CDS</t>
        </is>
      </c>
      <c r="F608" t="n">
        <v>0</v>
      </c>
      <c r="G608" t="n">
        <v>0</v>
      </c>
      <c r="H608" t="n">
        <v>0</v>
      </c>
      <c r="I608" t="n">
        <v>0</v>
      </c>
      <c r="J608" t="n">
        <v>0</v>
      </c>
      <c r="K608" t="n">
        <v>0</v>
      </c>
      <c r="L608" t="n">
        <v>0</v>
      </c>
      <c r="M608">
        <f>F608+G608+H608+K608-I608-J608-L608</f>
        <v/>
      </c>
      <c r="N608" t="inlineStr">
        <is>
          <t>NO APLICA</t>
        </is>
      </c>
      <c r="O608" t="n">
        <v>5</v>
      </c>
      <c r="P608">
        <f>IF(M608&lt;0, "ERROR: SOBREGIRO", IF(M608=0, "SIN EXISTENCIAS", IF(M608&lt;=O608, "STOCK BAJO", "STOCK NORMAL")))</f>
        <v/>
      </c>
    </row>
    <row r="609">
      <c r="A609" t="n">
        <v>41281</v>
      </c>
      <c r="B609" t="inlineStr">
        <is>
          <t>FUSIBLE 20A</t>
        </is>
      </c>
      <c r="C609" t="inlineStr">
        <is>
          <t>Materiales</t>
        </is>
      </c>
      <c r="D609" t="inlineStr">
        <is>
          <t>Unidad</t>
        </is>
      </c>
      <c r="E609" t="inlineStr">
        <is>
          <t>CDS</t>
        </is>
      </c>
      <c r="F609" t="n">
        <v>0</v>
      </c>
      <c r="G609" t="n">
        <v>0</v>
      </c>
      <c r="H609" t="n">
        <v>0</v>
      </c>
      <c r="I609" t="n">
        <v>0</v>
      </c>
      <c r="J609" t="n">
        <v>0</v>
      </c>
      <c r="K609" t="n">
        <v>0</v>
      </c>
      <c r="L609" t="n">
        <v>0</v>
      </c>
      <c r="M609">
        <f>F609+G609+H609+K609-I609-J609-L609</f>
        <v/>
      </c>
      <c r="N609" t="inlineStr">
        <is>
          <t>NO APLICA</t>
        </is>
      </c>
      <c r="O609" t="n">
        <v>5</v>
      </c>
      <c r="P609">
        <f>IF(M609&lt;0, "ERROR: SOBREGIRO", IF(M609=0, "SIN EXISTENCIAS", IF(M609&lt;=O609, "STOCK BAJO", "STOCK NORMAL")))</f>
        <v/>
      </c>
    </row>
    <row r="610">
      <c r="A610" t="n">
        <v>41285</v>
      </c>
      <c r="B610" t="inlineStr">
        <is>
          <t>INTERRUPTOR TERMOMAGNETICO INDUSTRIAL TRIPOLAR 100A (50KA) LS</t>
        </is>
      </c>
      <c r="C610" t="inlineStr">
        <is>
          <t>Elementos electricos</t>
        </is>
      </c>
      <c r="D610" t="inlineStr">
        <is>
          <t>Unidad</t>
        </is>
      </c>
      <c r="E610" t="inlineStr">
        <is>
          <t>CDS</t>
        </is>
      </c>
      <c r="F610" t="n">
        <v>1</v>
      </c>
      <c r="G610" t="n">
        <v>0</v>
      </c>
      <c r="H610" t="n">
        <v>0</v>
      </c>
      <c r="I610" t="n">
        <v>0</v>
      </c>
      <c r="J610" t="n">
        <v>0</v>
      </c>
      <c r="K610" t="n">
        <v>0</v>
      </c>
      <c r="L610" t="n">
        <v>0</v>
      </c>
      <c r="M610">
        <f>F610+G610+H610+K610-I610-J610-L610</f>
        <v/>
      </c>
      <c r="N610" t="inlineStr">
        <is>
          <t>NO APLICA</t>
        </is>
      </c>
      <c r="O610" t="n">
        <v>5</v>
      </c>
      <c r="P610">
        <f>IF(M610&lt;0, "ERROR: SOBREGIRO", IF(M610=0, "SIN EXISTENCIAS", IF(M610&lt;=O610, "STOCK BAJO", "STOCK NORMAL")))</f>
        <v/>
      </c>
    </row>
    <row r="611">
      <c r="A611" t="n">
        <v>41286</v>
      </c>
      <c r="B611" t="inlineStr">
        <is>
          <t>PORTAFUSIBLE 32A</t>
        </is>
      </c>
      <c r="C611" t="inlineStr">
        <is>
          <t>Materiales</t>
        </is>
      </c>
      <c r="D611" t="inlineStr">
        <is>
          <t>Unidad</t>
        </is>
      </c>
      <c r="E611" t="inlineStr">
        <is>
          <t>CDS</t>
        </is>
      </c>
      <c r="F611" t="n">
        <v>0</v>
      </c>
      <c r="G611" t="n">
        <v>0</v>
      </c>
      <c r="H611" t="n">
        <v>0</v>
      </c>
      <c r="I611" t="n">
        <v>0</v>
      </c>
      <c r="J611" t="n">
        <v>0</v>
      </c>
      <c r="K611" t="n">
        <v>0</v>
      </c>
      <c r="L611" t="n">
        <v>0</v>
      </c>
      <c r="M611">
        <f>F611+G611+H611+K611-I611-J611-L611</f>
        <v/>
      </c>
      <c r="N611" t="inlineStr">
        <is>
          <t>NO APLICA</t>
        </is>
      </c>
      <c r="O611" t="n">
        <v>5</v>
      </c>
      <c r="P611">
        <f>IF(M611&lt;0, "ERROR: SOBREGIRO", IF(M611=0, "SIN EXISTENCIAS", IF(M611&lt;=O611, "STOCK BAJO", "STOCK NORMAL")))</f>
        <v/>
      </c>
    </row>
    <row r="612">
      <c r="A612" t="n">
        <v>41291</v>
      </c>
      <c r="B612" t="inlineStr">
        <is>
          <t>COPA SIERRA 3 "</t>
        </is>
      </c>
      <c r="C612" t="inlineStr">
        <is>
          <t>Materiales</t>
        </is>
      </c>
      <c r="D612" t="inlineStr">
        <is>
          <t>Unidad</t>
        </is>
      </c>
      <c r="E612" t="inlineStr">
        <is>
          <t>CDS</t>
        </is>
      </c>
      <c r="F612" t="n">
        <v>0</v>
      </c>
      <c r="G612" t="n">
        <v>0</v>
      </c>
      <c r="H612" t="n">
        <v>0</v>
      </c>
      <c r="I612" t="n">
        <v>0</v>
      </c>
      <c r="J612" t="n">
        <v>0</v>
      </c>
      <c r="K612" t="n">
        <v>0</v>
      </c>
      <c r="L612" t="n">
        <v>0</v>
      </c>
      <c r="M612">
        <f>F612+G612+H612+K612-I612-J612-L612</f>
        <v/>
      </c>
      <c r="N612" t="inlineStr">
        <is>
          <t>NO APLICA</t>
        </is>
      </c>
      <c r="O612" t="n">
        <v>5</v>
      </c>
      <c r="P612">
        <f>IF(M612&lt;0, "ERROR: SOBREGIRO", IF(M612=0, "SIN EXISTENCIAS", IF(M612&lt;=O612, "STOCK BAJO", "STOCK NORMAL")))</f>
        <v/>
      </c>
    </row>
    <row r="613">
      <c r="A613" t="n">
        <v>41301</v>
      </c>
      <c r="B613" t="inlineStr">
        <is>
          <t>TERMINAL COBRE OJO #10 HUECO 1/4"</t>
        </is>
      </c>
      <c r="C613" t="inlineStr">
        <is>
          <t>Elementos electricos</t>
        </is>
      </c>
      <c r="D613" t="inlineStr">
        <is>
          <t>Unidad</t>
        </is>
      </c>
      <c r="E613" t="inlineStr">
        <is>
          <t>CDS</t>
        </is>
      </c>
      <c r="F613" t="n">
        <v>0</v>
      </c>
      <c r="G613" t="n">
        <v>0</v>
      </c>
      <c r="H613" t="n">
        <v>0</v>
      </c>
      <c r="I613" t="n">
        <v>0</v>
      </c>
      <c r="J613" t="n">
        <v>0</v>
      </c>
      <c r="K613" t="n">
        <v>0</v>
      </c>
      <c r="L613" t="n">
        <v>0</v>
      </c>
      <c r="M613">
        <f>F613+G613+H613+K613-I613-J613-L613</f>
        <v/>
      </c>
      <c r="N613" t="inlineStr">
        <is>
          <t>NO APLICA</t>
        </is>
      </c>
      <c r="O613" t="n">
        <v>5</v>
      </c>
      <c r="P613">
        <f>IF(M613&lt;0, "ERROR: SOBREGIRO", IF(M613=0, "SIN EXISTENCIAS", IF(M613&lt;=O613, "STOCK BAJO", "STOCK NORMAL")))</f>
        <v/>
      </c>
    </row>
    <row r="614">
      <c r="A614" t="n">
        <v>41432</v>
      </c>
      <c r="B614" t="inlineStr">
        <is>
          <t>UNION IMC 2 1/2"</t>
        </is>
      </c>
      <c r="C614" t="inlineStr">
        <is>
          <t>Materiales</t>
        </is>
      </c>
      <c r="D614" t="inlineStr">
        <is>
          <t>Unidad</t>
        </is>
      </c>
      <c r="E614" t="inlineStr">
        <is>
          <t>CDS</t>
        </is>
      </c>
      <c r="F614" t="n">
        <v>0</v>
      </c>
      <c r="G614" t="n">
        <v>0</v>
      </c>
      <c r="H614" t="n">
        <v>0</v>
      </c>
      <c r="I614" t="n">
        <v>0</v>
      </c>
      <c r="J614" t="n">
        <v>0</v>
      </c>
      <c r="K614" t="n">
        <v>0</v>
      </c>
      <c r="L614" t="n">
        <v>0</v>
      </c>
      <c r="M614">
        <f>F614+G614+H614+K614-I614-J614-L614</f>
        <v/>
      </c>
      <c r="N614" t="inlineStr">
        <is>
          <t>NO APLICA</t>
        </is>
      </c>
      <c r="O614" t="n">
        <v>5</v>
      </c>
      <c r="P614">
        <f>IF(M614&lt;0, "ERROR: SOBREGIRO", IF(M614=0, "SIN EXISTENCIAS", IF(M614&lt;=O614, "STOCK BAJO", "STOCK NORMAL")))</f>
        <v/>
      </c>
    </row>
    <row r="615">
      <c r="A615" t="n">
        <v>41434</v>
      </c>
      <c r="B615" t="inlineStr">
        <is>
          <t>UNION EMT 2 1/2"</t>
        </is>
      </c>
      <c r="C615" t="inlineStr">
        <is>
          <t>Materiales</t>
        </is>
      </c>
      <c r="D615" t="inlineStr">
        <is>
          <t>Unidad</t>
        </is>
      </c>
      <c r="E615" t="inlineStr">
        <is>
          <t>CDS</t>
        </is>
      </c>
      <c r="F615" t="n">
        <v>0</v>
      </c>
      <c r="G615" t="n">
        <v>0</v>
      </c>
      <c r="H615" t="n">
        <v>0</v>
      </c>
      <c r="I615" t="n">
        <v>0</v>
      </c>
      <c r="J615" t="n">
        <v>0</v>
      </c>
      <c r="K615" t="n">
        <v>0</v>
      </c>
      <c r="L615" t="n">
        <v>0</v>
      </c>
      <c r="M615">
        <f>F615+G615+H615+K615-I615-J615-L615</f>
        <v/>
      </c>
      <c r="N615" t="inlineStr">
        <is>
          <t>NO APLICA</t>
        </is>
      </c>
      <c r="O615" t="n">
        <v>5</v>
      </c>
      <c r="P615">
        <f>IF(M615&lt;0, "ERROR: SOBREGIRO", IF(M615=0, "SIN EXISTENCIAS", IF(M615&lt;=O615, "STOCK BAJO", "STOCK NORMAL")))</f>
        <v/>
      </c>
    </row>
    <row r="616">
      <c r="A616" t="n">
        <v>41506</v>
      </c>
      <c r="B616" t="inlineStr">
        <is>
          <t>BROCA SDS PLUS PARA CONCRETO 3/8”</t>
        </is>
      </c>
      <c r="C616" t="inlineStr">
        <is>
          <t>Materiales</t>
        </is>
      </c>
      <c r="D616" t="inlineStr">
        <is>
          <t>Unidad</t>
        </is>
      </c>
      <c r="E616" t="inlineStr">
        <is>
          <t>CDS</t>
        </is>
      </c>
      <c r="F616" t="n">
        <v>0</v>
      </c>
      <c r="G616" t="n">
        <v>0</v>
      </c>
      <c r="H616" t="n">
        <v>0</v>
      </c>
      <c r="I616" t="n">
        <v>0</v>
      </c>
      <c r="J616" t="n">
        <v>0</v>
      </c>
      <c r="K616" t="n">
        <v>0</v>
      </c>
      <c r="L616" t="n">
        <v>0</v>
      </c>
      <c r="M616">
        <f>F616+G616+H616+K616-I616-J616-L616</f>
        <v/>
      </c>
      <c r="N616" t="inlineStr">
        <is>
          <t>NO APLICA</t>
        </is>
      </c>
      <c r="O616" t="n">
        <v>5</v>
      </c>
      <c r="P616">
        <f>IF(M616&lt;0, "ERROR: SOBREGIRO", IF(M616=0, "SIN EXISTENCIAS", IF(M616&lt;=O616, "STOCK BAJO", "STOCK NORMAL")))</f>
        <v/>
      </c>
    </row>
    <row r="617">
      <c r="A617" t="n">
        <v>41546</v>
      </c>
      <c r="B617" t="inlineStr">
        <is>
          <t>DISCO DE DESVASTE DE 4 1/2 PLG</t>
        </is>
      </c>
      <c r="C617" t="inlineStr">
        <is>
          <t>Consumibles</t>
        </is>
      </c>
      <c r="D617" t="inlineStr">
        <is>
          <t>Unidad</t>
        </is>
      </c>
      <c r="E617" t="inlineStr">
        <is>
          <t>CDS</t>
        </is>
      </c>
      <c r="F617" t="n">
        <v>0</v>
      </c>
      <c r="G617" t="n">
        <v>0</v>
      </c>
      <c r="H617" t="n">
        <v>0</v>
      </c>
      <c r="I617" t="n">
        <v>0</v>
      </c>
      <c r="J617" t="n">
        <v>0</v>
      </c>
      <c r="K617" t="n">
        <v>0</v>
      </c>
      <c r="L617" t="n">
        <v>0</v>
      </c>
      <c r="M617">
        <f>F617+G617+H617+K617-I617-J617-L617</f>
        <v/>
      </c>
      <c r="N617" t="inlineStr">
        <is>
          <t>NO APLICA</t>
        </is>
      </c>
      <c r="O617" t="n">
        <v>5</v>
      </c>
      <c r="P617">
        <f>IF(M617&lt;0, "ERROR: SOBREGIRO", IF(M617=0, "SIN EXISTENCIAS", IF(M617&lt;=O617, "STOCK BAJO", "STOCK NORMAL")))</f>
        <v/>
      </c>
    </row>
    <row r="618">
      <c r="A618" t="n">
        <v>41654</v>
      </c>
      <c r="B618" t="inlineStr">
        <is>
          <t>CONDULETA T 3" INTEMPERIE</t>
        </is>
      </c>
      <c r="C618" t="inlineStr">
        <is>
          <t>Materiales</t>
        </is>
      </c>
      <c r="D618" t="inlineStr">
        <is>
          <t>Unidad</t>
        </is>
      </c>
      <c r="E618" t="inlineStr">
        <is>
          <t>CDS</t>
        </is>
      </c>
      <c r="F618" t="n">
        <v>1</v>
      </c>
      <c r="G618" t="n">
        <v>0</v>
      </c>
      <c r="H618" t="n">
        <v>0</v>
      </c>
      <c r="I618" t="n">
        <v>0</v>
      </c>
      <c r="J618" t="n">
        <v>0</v>
      </c>
      <c r="K618" t="n">
        <v>0</v>
      </c>
      <c r="L618" t="n">
        <v>0</v>
      </c>
      <c r="M618">
        <f>F618+G618+H618+K618-I618-J618-L618</f>
        <v/>
      </c>
      <c r="N618" t="inlineStr">
        <is>
          <t>NO APLICA</t>
        </is>
      </c>
      <c r="O618" t="n">
        <v>5</v>
      </c>
      <c r="P618">
        <f>IF(M618&lt;0, "ERROR: SOBREGIRO", IF(M618=0, "SIN EXISTENCIAS", IF(M618&lt;=O618, "STOCK BAJO", "STOCK NORMAL")))</f>
        <v/>
      </c>
    </row>
    <row r="619">
      <c r="A619" t="n">
        <v>41655</v>
      </c>
      <c r="B619" t="inlineStr">
        <is>
          <t>CONDULETA LL 3" INTERIOR</t>
        </is>
      </c>
      <c r="C619" t="inlineStr">
        <is>
          <t>Materiales</t>
        </is>
      </c>
      <c r="D619" t="inlineStr">
        <is>
          <t>Unidad</t>
        </is>
      </c>
      <c r="E619" t="inlineStr">
        <is>
          <t>CDS</t>
        </is>
      </c>
      <c r="F619" t="n">
        <v>2</v>
      </c>
      <c r="G619" t="n">
        <v>0</v>
      </c>
      <c r="H619" t="n">
        <v>0</v>
      </c>
      <c r="I619" t="n">
        <v>0</v>
      </c>
      <c r="J619" t="n">
        <v>0</v>
      </c>
      <c r="K619" t="n">
        <v>0</v>
      </c>
      <c r="L619" t="n">
        <v>0</v>
      </c>
      <c r="M619">
        <f>F619+G619+H619+K619-I619-J619-L619</f>
        <v/>
      </c>
      <c r="N619" t="inlineStr">
        <is>
          <t>NO APLICA</t>
        </is>
      </c>
      <c r="O619" t="n">
        <v>5</v>
      </c>
      <c r="P619">
        <f>IF(M619&lt;0, "ERROR: SOBREGIRO", IF(M619=0, "SIN EXISTENCIAS", IF(M619&lt;=O619, "STOCK BAJO", "STOCK NORMAL")))</f>
        <v/>
      </c>
    </row>
    <row r="620">
      <c r="A620" t="n">
        <v>41656</v>
      </c>
      <c r="B620" t="inlineStr">
        <is>
          <t>CONDULETA LL 3" INTEMPERIE</t>
        </is>
      </c>
      <c r="C620" t="inlineStr">
        <is>
          <t>Materiales</t>
        </is>
      </c>
      <c r="D620" t="inlineStr">
        <is>
          <t>Unidad</t>
        </is>
      </c>
      <c r="E620" t="inlineStr">
        <is>
          <t>CDS</t>
        </is>
      </c>
      <c r="F620" t="n">
        <v>10</v>
      </c>
      <c r="G620" t="n">
        <v>0</v>
      </c>
      <c r="H620" t="n">
        <v>0</v>
      </c>
      <c r="I620" t="n">
        <v>0</v>
      </c>
      <c r="J620" t="n">
        <v>0</v>
      </c>
      <c r="K620" t="n">
        <v>0</v>
      </c>
      <c r="L620" t="n">
        <v>0</v>
      </c>
      <c r="M620">
        <f>F620+G620+H620+K620-I620-J620-L620</f>
        <v/>
      </c>
      <c r="N620" t="inlineStr">
        <is>
          <t>NO APLICA</t>
        </is>
      </c>
      <c r="O620" t="n">
        <v>5</v>
      </c>
      <c r="P620">
        <f>IF(M620&lt;0, "ERROR: SOBREGIRO", IF(M620=0, "SIN EXISTENCIAS", IF(M620&lt;=O620, "STOCK BAJO", "STOCK NORMAL")))</f>
        <v/>
      </c>
    </row>
    <row r="621">
      <c r="A621" t="n">
        <v>41693</v>
      </c>
      <c r="B621" t="inlineStr">
        <is>
          <t>CABLE ALUMINIO AISLADO 350 KCMIL 600V</t>
        </is>
      </c>
      <c r="C621" t="inlineStr">
        <is>
          <t>Cableado</t>
        </is>
      </c>
      <c r="D621" t="inlineStr">
        <is>
          <t>Metro</t>
        </is>
      </c>
      <c r="E621" t="inlineStr">
        <is>
          <t>CDS</t>
        </is>
      </c>
      <c r="F621" t="n">
        <v>0</v>
      </c>
      <c r="G621" t="n">
        <v>0</v>
      </c>
      <c r="H621" t="n">
        <v>0</v>
      </c>
      <c r="I621" t="n">
        <v>0</v>
      </c>
      <c r="J621" t="n">
        <v>0</v>
      </c>
      <c r="K621" t="n">
        <v>0</v>
      </c>
      <c r="L621" t="n">
        <v>0</v>
      </c>
      <c r="M621">
        <f>F621+G621+H621+K621-I621-J621-L621</f>
        <v/>
      </c>
      <c r="N621" t="inlineStr">
        <is>
          <t>NO APLICA</t>
        </is>
      </c>
      <c r="O621" t="n">
        <v>5</v>
      </c>
      <c r="P621">
        <f>IF(M621&lt;0, "ERROR: SOBREGIRO", IF(M621=0, "SIN EXISTENCIAS", IF(M621&lt;=O621, "STOCK BAJO", "STOCK NORMAL")))</f>
        <v/>
      </c>
    </row>
    <row r="622">
      <c r="A622" t="n">
        <v>42185</v>
      </c>
      <c r="B622" t="inlineStr">
        <is>
          <t>TERMINAL PIN HUECO 22 AWG</t>
        </is>
      </c>
      <c r="C622" t="inlineStr">
        <is>
          <t>Elementos electricos</t>
        </is>
      </c>
      <c r="D622" t="inlineStr">
        <is>
          <t>Unidad</t>
        </is>
      </c>
      <c r="E622" t="inlineStr">
        <is>
          <t>CDS</t>
        </is>
      </c>
      <c r="F622" t="n">
        <v>0</v>
      </c>
      <c r="G622" t="n">
        <v>0</v>
      </c>
      <c r="H622" t="n">
        <v>0</v>
      </c>
      <c r="I622" t="n">
        <v>0</v>
      </c>
      <c r="J622" t="n">
        <v>0</v>
      </c>
      <c r="K622" t="n">
        <v>0</v>
      </c>
      <c r="L622" t="n">
        <v>0</v>
      </c>
      <c r="M622">
        <f>F622+G622+H622+K622-I622-J622-L622</f>
        <v/>
      </c>
      <c r="N622" t="inlineStr">
        <is>
          <t>NO APLICA</t>
        </is>
      </c>
      <c r="O622" t="n">
        <v>5</v>
      </c>
      <c r="P622">
        <f>IF(M622&lt;0, "ERROR: SOBREGIRO", IF(M622=0, "SIN EXISTENCIAS", IF(M622&lt;=O622, "STOCK BAJO", "STOCK NORMAL")))</f>
        <v/>
      </c>
    </row>
    <row r="623">
      <c r="A623" t="n">
        <v>42198</v>
      </c>
      <c r="B623" t="inlineStr">
        <is>
          <t>CAJA RADWELT 4X2 SALIDAS 1/2</t>
        </is>
      </c>
      <c r="C623" t="inlineStr">
        <is>
          <t>Materiales</t>
        </is>
      </c>
      <c r="D623" t="inlineStr">
        <is>
          <t>Caja</t>
        </is>
      </c>
      <c r="E623" t="inlineStr">
        <is>
          <t>CDS</t>
        </is>
      </c>
      <c r="F623" t="n">
        <v>5</v>
      </c>
      <c r="G623" t="n">
        <v>0</v>
      </c>
      <c r="H623" t="n">
        <v>0</v>
      </c>
      <c r="I623" t="n">
        <v>0</v>
      </c>
      <c r="J623" t="n">
        <v>0</v>
      </c>
      <c r="K623" t="n">
        <v>0</v>
      </c>
      <c r="L623" t="n">
        <v>0</v>
      </c>
      <c r="M623">
        <f>F623+G623+H623+K623-I623-J623-L623</f>
        <v/>
      </c>
      <c r="N623" t="inlineStr">
        <is>
          <t>NO APLICA</t>
        </is>
      </c>
      <c r="O623" t="n">
        <v>5</v>
      </c>
      <c r="P623">
        <f>IF(M623&lt;0, "ERROR: SOBREGIRO", IF(M623=0, "SIN EXISTENCIAS", IF(M623&lt;=O623, "STOCK BAJO", "STOCK NORMAL")))</f>
        <v/>
      </c>
    </row>
    <row r="624">
      <c r="A624" t="n">
        <v>42206</v>
      </c>
      <c r="B624" t="inlineStr">
        <is>
          <t>MOLDE PARA SOLDADURA EXOTÉRMICA TIPO X</t>
        </is>
      </c>
      <c r="C624" t="inlineStr">
        <is>
          <t>Consumibles</t>
        </is>
      </c>
      <c r="D624" t="inlineStr">
        <is>
          <t>Unidad</t>
        </is>
      </c>
      <c r="E624" t="inlineStr">
        <is>
          <t>CDS</t>
        </is>
      </c>
      <c r="F624" t="n">
        <v>0</v>
      </c>
      <c r="G624" t="n">
        <v>0</v>
      </c>
      <c r="H624" t="n">
        <v>0</v>
      </c>
      <c r="I624" t="n">
        <v>0</v>
      </c>
      <c r="J624" t="n">
        <v>0</v>
      </c>
      <c r="K624" t="n">
        <v>0</v>
      </c>
      <c r="L624" t="n">
        <v>0</v>
      </c>
      <c r="M624">
        <f>F624+G624+H624+K624-I624-J624-L624</f>
        <v/>
      </c>
      <c r="N624" t="inlineStr">
        <is>
          <t>NO APLICA</t>
        </is>
      </c>
      <c r="O624" t="n">
        <v>5</v>
      </c>
      <c r="P624">
        <f>IF(M624&lt;0, "ERROR: SOBREGIRO", IF(M624=0, "SIN EXISTENCIAS", IF(M624&lt;=O624, "STOCK BAJO", "STOCK NORMAL")))</f>
        <v/>
      </c>
    </row>
    <row r="625">
      <c r="A625" t="n">
        <v>42209</v>
      </c>
      <c r="B625" t="inlineStr">
        <is>
          <t>SOLDADURA EXOTERMICA 150GR</t>
        </is>
      </c>
      <c r="C625" t="inlineStr">
        <is>
          <t>Consumibles</t>
        </is>
      </c>
      <c r="D625" t="inlineStr">
        <is>
          <t>Unidad</t>
        </is>
      </c>
      <c r="E625" t="inlineStr">
        <is>
          <t>CDS</t>
        </is>
      </c>
      <c r="F625" t="n">
        <v>0</v>
      </c>
      <c r="G625" t="n">
        <v>0</v>
      </c>
      <c r="H625" t="n">
        <v>0</v>
      </c>
      <c r="I625" t="n">
        <v>0</v>
      </c>
      <c r="J625" t="n">
        <v>0</v>
      </c>
      <c r="K625" t="n">
        <v>0</v>
      </c>
      <c r="L625" t="n">
        <v>0</v>
      </c>
      <c r="M625">
        <f>F625+G625+H625+K625-I625-J625-L625</f>
        <v/>
      </c>
      <c r="N625" t="inlineStr">
        <is>
          <t>NO APLICA</t>
        </is>
      </c>
      <c r="O625" t="n">
        <v>5</v>
      </c>
      <c r="P625">
        <f>IF(M625&lt;0, "ERROR: SOBREGIRO", IF(M625=0, "SIN EXISTENCIAS", IF(M625&lt;=O625, "STOCK BAJO", "STOCK NORMAL")))</f>
        <v/>
      </c>
    </row>
    <row r="626">
      <c r="A626" t="n">
        <v>42388</v>
      </c>
      <c r="B626" t="inlineStr">
        <is>
          <t>INTERRUPTOR TERMOMAGNETICO ENCHUFABLE BIPOLAR 40A TIVEN LEGRAND 8902/40N</t>
        </is>
      </c>
      <c r="C626" t="inlineStr">
        <is>
          <t>Elementos electricos</t>
        </is>
      </c>
      <c r="D626" t="inlineStr">
        <is>
          <t>Unidad</t>
        </is>
      </c>
      <c r="E626" t="inlineStr">
        <is>
          <t>CDS</t>
        </is>
      </c>
      <c r="F626" t="n">
        <v>1</v>
      </c>
      <c r="G626" t="n">
        <v>0</v>
      </c>
      <c r="H626" t="n">
        <v>0</v>
      </c>
      <c r="I626" t="n">
        <v>0</v>
      </c>
      <c r="J626" t="n">
        <v>0</v>
      </c>
      <c r="K626" t="n">
        <v>0</v>
      </c>
      <c r="L626" t="n">
        <v>0</v>
      </c>
      <c r="M626">
        <f>F626+G626+H626+K626-I626-J626-L626</f>
        <v/>
      </c>
      <c r="N626" t="inlineStr">
        <is>
          <t>NO APLICA</t>
        </is>
      </c>
      <c r="O626" t="n">
        <v>5</v>
      </c>
      <c r="P626">
        <f>IF(M626&lt;0, "ERROR: SOBREGIRO", IF(M626=0, "SIN EXISTENCIAS", IF(M626&lt;=O626, "STOCK BAJO", "STOCK NORMAL")))</f>
        <v/>
      </c>
    </row>
    <row r="627">
      <c r="A627" t="n">
        <v>42433</v>
      </c>
      <c r="B627" t="inlineStr">
        <is>
          <t>SIM CARD ONOMONDO</t>
        </is>
      </c>
      <c r="C627" t="inlineStr">
        <is>
          <t>Materiales</t>
        </is>
      </c>
      <c r="D627" t="inlineStr">
        <is>
          <t>Unidad</t>
        </is>
      </c>
      <c r="E627" t="inlineStr">
        <is>
          <t>CDS</t>
        </is>
      </c>
      <c r="F627" t="n">
        <v>0</v>
      </c>
      <c r="G627" t="n">
        <v>0</v>
      </c>
      <c r="H627" t="n">
        <v>0</v>
      </c>
      <c r="I627" t="n">
        <v>0</v>
      </c>
      <c r="J627" t="n">
        <v>0</v>
      </c>
      <c r="K627" t="n">
        <v>0</v>
      </c>
      <c r="L627" t="n">
        <v>0</v>
      </c>
      <c r="M627">
        <f>F627+G627+H627+K627-I627-J627-L627</f>
        <v/>
      </c>
      <c r="N627" t="inlineStr">
        <is>
          <t>NO APLICA</t>
        </is>
      </c>
      <c r="O627" t="n">
        <v>5</v>
      </c>
      <c r="P627">
        <f>IF(M627&lt;0, "ERROR: SOBREGIRO", IF(M627=0, "SIN EXISTENCIAS", IF(M627&lt;=O627, "STOCK BAJO", "STOCK NORMAL")))</f>
        <v/>
      </c>
    </row>
    <row r="628">
      <c r="A628" t="n">
        <v>42457</v>
      </c>
      <c r="B628" t="inlineStr">
        <is>
          <t>CINTA ROTULADORA VINILO</t>
        </is>
      </c>
      <c r="C628" t="inlineStr">
        <is>
          <t>Consumibles</t>
        </is>
      </c>
      <c r="D628" t="inlineStr">
        <is>
          <t>Rollo</t>
        </is>
      </c>
      <c r="E628" t="inlineStr">
        <is>
          <t>CDS</t>
        </is>
      </c>
      <c r="F628" t="n">
        <v>0</v>
      </c>
      <c r="G628" t="n">
        <v>0</v>
      </c>
      <c r="H628" t="n">
        <v>0</v>
      </c>
      <c r="I628" t="n">
        <v>0</v>
      </c>
      <c r="J628" t="n">
        <v>0</v>
      </c>
      <c r="K628" t="n">
        <v>0</v>
      </c>
      <c r="L628" t="n">
        <v>0</v>
      </c>
      <c r="M628">
        <f>F628+G628+H628+K628-I628-J628-L628</f>
        <v/>
      </c>
      <c r="N628" t="inlineStr">
        <is>
          <t>NO APLICA</t>
        </is>
      </c>
      <c r="O628" t="n">
        <v>5</v>
      </c>
      <c r="P628">
        <f>IF(M628&lt;0, "ERROR: SOBREGIRO", IF(M628=0, "SIN EXISTENCIAS", IF(M628&lt;=O628, "STOCK BAJO", "STOCK NORMAL")))</f>
        <v/>
      </c>
    </row>
    <row r="629">
      <c r="A629" t="n">
        <v>42796</v>
      </c>
      <c r="B629" t="inlineStr">
        <is>
          <t>LIMPIA CONTACTOS ELECTRICO 200ML</t>
        </is>
      </c>
      <c r="C629" t="inlineStr">
        <is>
          <t>Materiales</t>
        </is>
      </c>
      <c r="D629" t="inlineStr">
        <is>
          <t>Unidad</t>
        </is>
      </c>
      <c r="E629" t="inlineStr">
        <is>
          <t>CDS</t>
        </is>
      </c>
      <c r="F629" t="n">
        <v>4</v>
      </c>
      <c r="G629" t="n">
        <v>0</v>
      </c>
      <c r="H629" t="n">
        <v>0</v>
      </c>
      <c r="I629" t="n">
        <v>0</v>
      </c>
      <c r="J629" t="n">
        <v>0</v>
      </c>
      <c r="K629" t="n">
        <v>0</v>
      </c>
      <c r="L629" t="n">
        <v>0</v>
      </c>
      <c r="M629">
        <f>F629+G629+H629+K629-I629-J629-L629</f>
        <v/>
      </c>
      <c r="N629" t="inlineStr">
        <is>
          <t>NO APLICA</t>
        </is>
      </c>
      <c r="O629" t="n">
        <v>5</v>
      </c>
      <c r="P629">
        <f>IF(M629&lt;0, "ERROR: SOBREGIRO", IF(M629=0, "SIN EXISTENCIAS", IF(M629&lt;=O629, "STOCK BAJO", "STOCK NORMAL")))</f>
        <v/>
      </c>
    </row>
    <row r="630">
      <c r="A630" t="n">
        <v>42904</v>
      </c>
      <c r="B630" t="inlineStr">
        <is>
          <t>CABLE MICRO USB TIPO B8 1.5 M</t>
        </is>
      </c>
      <c r="C630" t="inlineStr">
        <is>
          <t>Cableado</t>
        </is>
      </c>
      <c r="D630" t="inlineStr">
        <is>
          <t>Metro</t>
        </is>
      </c>
      <c r="E630" t="inlineStr">
        <is>
          <t>CDS</t>
        </is>
      </c>
      <c r="F630" t="n">
        <v>0</v>
      </c>
      <c r="G630" t="n">
        <v>0</v>
      </c>
      <c r="H630" t="n">
        <v>0</v>
      </c>
      <c r="I630" t="n">
        <v>0</v>
      </c>
      <c r="J630" t="n">
        <v>0</v>
      </c>
      <c r="K630" t="n">
        <v>0</v>
      </c>
      <c r="L630" t="n">
        <v>0</v>
      </c>
      <c r="M630">
        <f>F630+G630+H630+K630-I630-J630-L630</f>
        <v/>
      </c>
      <c r="N630" t="inlineStr">
        <is>
          <t>NO APLICA</t>
        </is>
      </c>
      <c r="O630" t="n">
        <v>5</v>
      </c>
      <c r="P630">
        <f>IF(M630&lt;0, "ERROR: SOBREGIRO", IF(M630=0, "SIN EXISTENCIAS", IF(M630&lt;=O630, "STOCK BAJO", "STOCK NORMAL")))</f>
        <v/>
      </c>
    </row>
    <row r="631">
      <c r="A631" t="n">
        <v>43781</v>
      </c>
      <c r="B631" t="inlineStr">
        <is>
          <t>CAJA INSPECCION TIERRA POLICARBONATO 30X30</t>
        </is>
      </c>
      <c r="C631" t="inlineStr">
        <is>
          <t>Materiales</t>
        </is>
      </c>
      <c r="D631" t="inlineStr">
        <is>
          <t>Caja</t>
        </is>
      </c>
      <c r="E631" t="inlineStr">
        <is>
          <t>CDS</t>
        </is>
      </c>
      <c r="F631" t="n">
        <v>0</v>
      </c>
      <c r="G631" t="n">
        <v>0</v>
      </c>
      <c r="H631" t="n">
        <v>0</v>
      </c>
      <c r="I631" t="n">
        <v>0</v>
      </c>
      <c r="J631" t="n">
        <v>0</v>
      </c>
      <c r="K631" t="n">
        <v>0</v>
      </c>
      <c r="L631" t="n">
        <v>0</v>
      </c>
      <c r="M631">
        <f>F631+G631+H631+K631-I631-J631-L631</f>
        <v/>
      </c>
      <c r="N631" t="inlineStr">
        <is>
          <t>NO APLICA</t>
        </is>
      </c>
      <c r="O631" t="n">
        <v>5</v>
      </c>
      <c r="P631">
        <f>IF(M631&lt;0, "ERROR: SOBREGIRO", IF(M631=0, "SIN EXISTENCIAS", IF(M631&lt;=O631, "STOCK BAJO", "STOCK NORMAL")))</f>
        <v/>
      </c>
    </row>
    <row r="632">
      <c r="A632" t="n">
        <v>43846</v>
      </c>
      <c r="B632" t="inlineStr">
        <is>
          <t>TABLERO DISTRIBUCIÓN TRIFASICO 12 CIRCUITOS RIEL DE SOBREPONER CILES</t>
        </is>
      </c>
      <c r="C632" t="inlineStr">
        <is>
          <t>Materiales</t>
        </is>
      </c>
      <c r="D632" t="inlineStr">
        <is>
          <t>Unidad</t>
        </is>
      </c>
      <c r="E632" t="inlineStr">
        <is>
          <t>CDS</t>
        </is>
      </c>
      <c r="F632" t="n">
        <v>9</v>
      </c>
      <c r="G632" t="n">
        <v>0</v>
      </c>
      <c r="H632" t="n">
        <v>0</v>
      </c>
      <c r="I632" t="n">
        <v>0</v>
      </c>
      <c r="J632" t="n">
        <v>0</v>
      </c>
      <c r="K632" t="n">
        <v>0</v>
      </c>
      <c r="L632" t="n">
        <v>0</v>
      </c>
      <c r="M632">
        <f>F632+G632+H632+K632-I632-J632-L632</f>
        <v/>
      </c>
      <c r="N632" t="inlineStr">
        <is>
          <t>NO APLICA</t>
        </is>
      </c>
      <c r="O632" t="n">
        <v>5</v>
      </c>
      <c r="P632">
        <f>IF(M632&lt;0, "ERROR: SOBREGIRO", IF(M632=0, "SIN EXISTENCIAS", IF(M632&lt;=O632, "STOCK BAJO", "STOCK NORMAL")))</f>
        <v/>
      </c>
    </row>
    <row r="633">
      <c r="A633" t="n">
        <v>44081</v>
      </c>
      <c r="B633" t="inlineStr">
        <is>
          <t>TORNILLO CABEZA HEXAGONAL Ø1/2" X 1-1/2" ACERO GALVANIZADO</t>
        </is>
      </c>
      <c r="C633" t="inlineStr">
        <is>
          <t>Tornilleria</t>
        </is>
      </c>
      <c r="D633" t="inlineStr">
        <is>
          <t>Unidad</t>
        </is>
      </c>
      <c r="E633" t="inlineStr">
        <is>
          <t>CDS</t>
        </is>
      </c>
      <c r="F633" t="n">
        <v>0</v>
      </c>
      <c r="G633" t="n">
        <v>0</v>
      </c>
      <c r="H633" t="n">
        <v>0</v>
      </c>
      <c r="I633" t="n">
        <v>0</v>
      </c>
      <c r="J633" t="n">
        <v>0</v>
      </c>
      <c r="K633" t="n">
        <v>0</v>
      </c>
      <c r="L633" t="n">
        <v>0</v>
      </c>
      <c r="M633">
        <f>F633+G633+H633+K633-I633-J633-L633</f>
        <v/>
      </c>
      <c r="N633" t="inlineStr">
        <is>
          <t>NO APLICA</t>
        </is>
      </c>
      <c r="O633" t="n">
        <v>5</v>
      </c>
      <c r="P633">
        <f>IF(M633&lt;0, "ERROR: SOBREGIRO", IF(M633=0, "SIN EXISTENCIAS", IF(M633&lt;=O633, "STOCK BAJO", "STOCK NORMAL")))</f>
        <v/>
      </c>
    </row>
    <row r="634">
      <c r="A634" t="n">
        <v>44125</v>
      </c>
      <c r="B634" t="inlineStr">
        <is>
          <t>CONECTOR JK03M MACHO</t>
        </is>
      </c>
      <c r="C634" t="inlineStr">
        <is>
          <t>Materiales</t>
        </is>
      </c>
      <c r="D634" t="inlineStr">
        <is>
          <t>Unidad</t>
        </is>
      </c>
      <c r="E634" t="inlineStr">
        <is>
          <t>CDS</t>
        </is>
      </c>
      <c r="F634" t="n">
        <v>0</v>
      </c>
      <c r="G634" t="n">
        <v>0</v>
      </c>
      <c r="H634" t="n">
        <v>0</v>
      </c>
      <c r="I634" t="n">
        <v>0</v>
      </c>
      <c r="J634" t="n">
        <v>0</v>
      </c>
      <c r="K634" t="n">
        <v>0</v>
      </c>
      <c r="L634" t="n">
        <v>0</v>
      </c>
      <c r="M634">
        <f>F634+G634+H634+K634-I634-J634-L634</f>
        <v/>
      </c>
      <c r="N634" t="inlineStr">
        <is>
          <t>NO APLICA</t>
        </is>
      </c>
      <c r="O634" t="n">
        <v>5</v>
      </c>
      <c r="P634">
        <f>IF(M634&lt;0, "ERROR: SOBREGIRO", IF(M634=0, "SIN EXISTENCIAS", IF(M634&lt;=O634, "STOCK BAJO", "STOCK NORMAL")))</f>
        <v/>
      </c>
    </row>
    <row r="635">
      <c r="A635" t="n">
        <v>44126</v>
      </c>
      <c r="B635" t="inlineStr">
        <is>
          <t>CONECTOR JK03M HEMBRA</t>
        </is>
      </c>
      <c r="C635" t="inlineStr">
        <is>
          <t>Materiales</t>
        </is>
      </c>
      <c r="D635" t="inlineStr">
        <is>
          <t>Unidad</t>
        </is>
      </c>
      <c r="E635" t="inlineStr">
        <is>
          <t>CDS</t>
        </is>
      </c>
      <c r="F635" t="n">
        <v>0</v>
      </c>
      <c r="G635" t="n">
        <v>0</v>
      </c>
      <c r="H635" t="n">
        <v>0</v>
      </c>
      <c r="I635" t="n">
        <v>0</v>
      </c>
      <c r="J635" t="n">
        <v>0</v>
      </c>
      <c r="K635" t="n">
        <v>0</v>
      </c>
      <c r="L635" t="n">
        <v>0</v>
      </c>
      <c r="M635">
        <f>F635+G635+H635+K635-I635-J635-L635</f>
        <v/>
      </c>
      <c r="N635" t="inlineStr">
        <is>
          <t>NO APLICA</t>
        </is>
      </c>
      <c r="O635" t="n">
        <v>5</v>
      </c>
      <c r="P635">
        <f>IF(M635&lt;0, "ERROR: SOBREGIRO", IF(M635=0, "SIN EXISTENCIAS", IF(M635&lt;=O635, "STOCK BAJO", "STOCK NORMAL")))</f>
        <v/>
      </c>
    </row>
    <row r="636">
      <c r="A636" t="n">
        <v>44154</v>
      </c>
      <c r="B636" t="inlineStr">
        <is>
          <t>DTU-PRO-S (WIFI) HOYMILES</t>
        </is>
      </c>
      <c r="C636" t="inlineStr">
        <is>
          <t>Materiales</t>
        </is>
      </c>
      <c r="D636" t="inlineStr">
        <is>
          <t>Unidad</t>
        </is>
      </c>
      <c r="E636" t="inlineStr">
        <is>
          <t>CDS</t>
        </is>
      </c>
      <c r="F636" t="n">
        <v>0</v>
      </c>
      <c r="G636" t="n">
        <v>0</v>
      </c>
      <c r="H636" t="n">
        <v>0</v>
      </c>
      <c r="I636" t="n">
        <v>0</v>
      </c>
      <c r="J636" t="n">
        <v>0</v>
      </c>
      <c r="K636" t="n">
        <v>0</v>
      </c>
      <c r="L636" t="n">
        <v>0</v>
      </c>
      <c r="M636">
        <f>F636+G636+H636+K636-I636-J636-L636</f>
        <v/>
      </c>
      <c r="N636" t="inlineStr">
        <is>
          <t>NO APLICA</t>
        </is>
      </c>
      <c r="O636" t="n">
        <v>5</v>
      </c>
      <c r="P636">
        <f>IF(M636&lt;0, "ERROR: SOBREGIRO", IF(M636=0, "SIN EXISTENCIAS", IF(M636&lt;=O636, "STOCK BAJO", "STOCK NORMAL")))</f>
        <v/>
      </c>
    </row>
    <row r="637">
      <c r="A637" t="n">
        <v>44815</v>
      </c>
      <c r="B637" t="inlineStr">
        <is>
          <t>ESPUMA EXPANSIVA MULTIUSO 750 ML SOUDAL</t>
        </is>
      </c>
      <c r="C637" t="inlineStr">
        <is>
          <t>Consumibles</t>
        </is>
      </c>
      <c r="D637" t="inlineStr">
        <is>
          <t>Unidad</t>
        </is>
      </c>
      <c r="E637" t="inlineStr">
        <is>
          <t>CDS</t>
        </is>
      </c>
      <c r="F637" t="n">
        <v>3</v>
      </c>
      <c r="G637" t="n">
        <v>0</v>
      </c>
      <c r="H637" t="n">
        <v>0</v>
      </c>
      <c r="I637" t="n">
        <v>0</v>
      </c>
      <c r="J637" t="n">
        <v>0</v>
      </c>
      <c r="K637" t="n">
        <v>0</v>
      </c>
      <c r="L637" t="n">
        <v>0</v>
      </c>
      <c r="M637">
        <f>F637+G637+H637+K637-I637-J637-L637</f>
        <v/>
      </c>
      <c r="N637" t="inlineStr">
        <is>
          <t>APLICA</t>
        </is>
      </c>
      <c r="O637" t="n">
        <v>5</v>
      </c>
      <c r="P637">
        <f>IF(M637&lt;0, "ERROR: SOBREGIRO", IF(M637=0, "SIN EXISTENCIAS", IF(M637&lt;=O637, "STOCK BAJO", "STOCK NORMAL")))</f>
        <v/>
      </c>
    </row>
    <row r="638">
      <c r="A638" t="n">
        <v>44848</v>
      </c>
      <c r="B638" t="inlineStr">
        <is>
          <t>JINKO 620WP-66HL4M BIFACIAL</t>
        </is>
      </c>
      <c r="C638" t="inlineStr">
        <is>
          <t>Materiales</t>
        </is>
      </c>
      <c r="D638" t="inlineStr">
        <is>
          <t>Unidad</t>
        </is>
      </c>
      <c r="E638" t="inlineStr">
        <is>
          <t>CDS</t>
        </is>
      </c>
      <c r="F638" t="n">
        <v>0</v>
      </c>
      <c r="G638" t="n">
        <v>0</v>
      </c>
      <c r="H638" t="n">
        <v>0</v>
      </c>
      <c r="I638" t="n">
        <v>0</v>
      </c>
      <c r="J638" t="n">
        <v>0</v>
      </c>
      <c r="K638" t="n">
        <v>0</v>
      </c>
      <c r="L638" t="n">
        <v>0</v>
      </c>
      <c r="M638">
        <f>F638+G638+H638+K638-I638-J638-L638</f>
        <v/>
      </c>
      <c r="N638" t="inlineStr">
        <is>
          <t>NO APLICA</t>
        </is>
      </c>
      <c r="O638" t="n">
        <v>5</v>
      </c>
      <c r="P638">
        <f>IF(M638&lt;0, "ERROR: SOBREGIRO", IF(M638=0, "SIN EXISTENCIAS", IF(M638&lt;=O638, "STOCK BAJO", "STOCK NORMAL")))</f>
        <v/>
      </c>
    </row>
    <row r="639">
      <c r="A639" t="n">
        <v>44864</v>
      </c>
      <c r="B639" t="inlineStr">
        <is>
          <t>PILA RECARGABLE AAA X 4 ENERGIZER NIMH PAQUETE</t>
        </is>
      </c>
      <c r="C639" t="inlineStr">
        <is>
          <t>Materiales</t>
        </is>
      </c>
      <c r="D639" t="inlineStr">
        <is>
          <t>Caja</t>
        </is>
      </c>
      <c r="E639" t="inlineStr">
        <is>
          <t>CDS</t>
        </is>
      </c>
      <c r="F639" t="n">
        <v>0</v>
      </c>
      <c r="G639" t="n">
        <v>0</v>
      </c>
      <c r="H639" t="n">
        <v>0</v>
      </c>
      <c r="I639" t="n">
        <v>0</v>
      </c>
      <c r="J639" t="n">
        <v>0</v>
      </c>
      <c r="K639" t="n">
        <v>0</v>
      </c>
      <c r="L639" t="n">
        <v>0</v>
      </c>
      <c r="M639">
        <f>F639+G639+H639+K639-I639-J639-L639</f>
        <v/>
      </c>
      <c r="N639" t="inlineStr">
        <is>
          <t>NO APLICA</t>
        </is>
      </c>
      <c r="O639" t="n">
        <v>5</v>
      </c>
      <c r="P639">
        <f>IF(M639&lt;0, "ERROR: SOBREGIRO", IF(M639=0, "SIN EXISTENCIAS", IF(M639&lt;=O639, "STOCK BAJO", "STOCK NORMAL")))</f>
        <v/>
      </c>
    </row>
    <row r="640">
      <c r="A640" t="n">
        <v>45411</v>
      </c>
      <c r="B640" t="inlineStr">
        <is>
          <t>UNIDAD MONITOREO COMPULAB IMX8P RIEL DIN</t>
        </is>
      </c>
      <c r="C640" t="inlineStr">
        <is>
          <t>Materiales</t>
        </is>
      </c>
      <c r="D640" t="inlineStr">
        <is>
          <t>Unidad</t>
        </is>
      </c>
      <c r="E640" t="inlineStr">
        <is>
          <t>CDS</t>
        </is>
      </c>
      <c r="F640" t="n">
        <v>0</v>
      </c>
      <c r="G640" t="n">
        <v>0</v>
      </c>
      <c r="H640" t="n">
        <v>0</v>
      </c>
      <c r="I640" t="n">
        <v>0</v>
      </c>
      <c r="J640" t="n">
        <v>0</v>
      </c>
      <c r="K640" t="n">
        <v>0</v>
      </c>
      <c r="L640" t="n">
        <v>0</v>
      </c>
      <c r="M640">
        <f>F640+G640+H640+K640-I640-J640-L640</f>
        <v/>
      </c>
      <c r="N640" t="inlineStr">
        <is>
          <t>NO APLICA</t>
        </is>
      </c>
      <c r="O640" t="n">
        <v>5</v>
      </c>
      <c r="P640">
        <f>IF(M640&lt;0, "ERROR: SOBREGIRO", IF(M640=0, "SIN EXISTENCIAS", IF(M640&lt;=O640, "STOCK BAJO", "STOCK NORMAL")))</f>
        <v/>
      </c>
    </row>
    <row r="641">
      <c r="A641" t="n">
        <v>45444</v>
      </c>
      <c r="B641" t="inlineStr">
        <is>
          <t>JINKO 585WP 72HL4-BDV BIFACIAL</t>
        </is>
      </c>
      <c r="C641" t="inlineStr">
        <is>
          <t>Materiales</t>
        </is>
      </c>
      <c r="D641" t="inlineStr">
        <is>
          <t>Unidad</t>
        </is>
      </c>
      <c r="E641" t="inlineStr">
        <is>
          <t>CDS</t>
        </is>
      </c>
      <c r="F641" t="n">
        <v>0</v>
      </c>
      <c r="G641" t="n">
        <v>0</v>
      </c>
      <c r="H641" t="n">
        <v>0</v>
      </c>
      <c r="I641" t="n">
        <v>0</v>
      </c>
      <c r="J641" t="n">
        <v>0</v>
      </c>
      <c r="K641" t="n">
        <v>0</v>
      </c>
      <c r="L641" t="n">
        <v>0</v>
      </c>
      <c r="M641">
        <f>F641+G641+H641+K641-I641-J641-L641</f>
        <v/>
      </c>
      <c r="N641" t="inlineStr">
        <is>
          <t>NO APLICA</t>
        </is>
      </c>
      <c r="O641" t="n">
        <v>5</v>
      </c>
      <c r="P641">
        <f>IF(M641&lt;0, "ERROR: SOBREGIRO", IF(M641=0, "SIN EXISTENCIAS", IF(M641&lt;=O641, "STOCK BAJO", "STOCK NORMAL")))</f>
        <v/>
      </c>
    </row>
    <row r="642">
      <c r="A642" t="n">
        <v>45495</v>
      </c>
      <c r="B642" t="inlineStr">
        <is>
          <t>BORNERA DE PRUEBA Y CONEXION TRIFASICA BLOX</t>
        </is>
      </c>
      <c r="C642" t="inlineStr">
        <is>
          <t>Materiales</t>
        </is>
      </c>
      <c r="D642" t="inlineStr">
        <is>
          <t>Unidad</t>
        </is>
      </c>
      <c r="E642" t="inlineStr">
        <is>
          <t>CDS</t>
        </is>
      </c>
      <c r="F642" t="n">
        <v>0</v>
      </c>
      <c r="G642" t="n">
        <v>0</v>
      </c>
      <c r="H642" t="n">
        <v>0</v>
      </c>
      <c r="I642" t="n">
        <v>0</v>
      </c>
      <c r="J642" t="n">
        <v>0</v>
      </c>
      <c r="K642" t="n">
        <v>0</v>
      </c>
      <c r="L642" t="n">
        <v>0</v>
      </c>
      <c r="M642">
        <f>F642+G642+H642+K642-I642-J642-L642</f>
        <v/>
      </c>
      <c r="N642" t="inlineStr">
        <is>
          <t>NO APLICA</t>
        </is>
      </c>
      <c r="O642" t="n">
        <v>5</v>
      </c>
      <c r="P642">
        <f>IF(M642&lt;0, "ERROR: SOBREGIRO", IF(M642=0, "SIN EXISTENCIAS", IF(M642&lt;=O642, "STOCK BAJO", "STOCK NORMAL")))</f>
        <v/>
      </c>
    </row>
    <row r="643">
      <c r="A643" t="n">
        <v>45598</v>
      </c>
      <c r="B643" t="inlineStr">
        <is>
          <t>PLATINA EXTREMO BAJO LASTRADA</t>
        </is>
      </c>
      <c r="C643" t="inlineStr">
        <is>
          <t>Materiales</t>
        </is>
      </c>
      <c r="D643" t="inlineStr">
        <is>
          <t>Unidad</t>
        </is>
      </c>
      <c r="E643" t="inlineStr">
        <is>
          <t>CDS</t>
        </is>
      </c>
      <c r="F643" t="n">
        <v>0</v>
      </c>
      <c r="G643" t="n">
        <v>0</v>
      </c>
      <c r="H643" t="n">
        <v>0</v>
      </c>
      <c r="I643" t="n">
        <v>0</v>
      </c>
      <c r="J643" t="n">
        <v>0</v>
      </c>
      <c r="K643" t="n">
        <v>0</v>
      </c>
      <c r="L643" t="n">
        <v>0</v>
      </c>
      <c r="M643">
        <f>F643+G643+H643+K643-I643-J643-L643</f>
        <v/>
      </c>
      <c r="N643" t="inlineStr">
        <is>
          <t>NO APLICA</t>
        </is>
      </c>
      <c r="O643" t="n">
        <v>5</v>
      </c>
      <c r="P643">
        <f>IF(M643&lt;0, "ERROR: SOBREGIRO", IF(M643=0, "SIN EXISTENCIAS", IF(M643&lt;=O643, "STOCK BAJO", "STOCK NORMAL")))</f>
        <v/>
      </c>
    </row>
    <row r="644">
      <c r="A644" t="n">
        <v>45599</v>
      </c>
      <c r="B644" t="inlineStr">
        <is>
          <t>PLATINA CENTRAL DOBLE INCLINACION LASTRADA</t>
        </is>
      </c>
      <c r="C644" t="inlineStr">
        <is>
          <t>Materiales</t>
        </is>
      </c>
      <c r="D644" t="inlineStr">
        <is>
          <t>Unidad</t>
        </is>
      </c>
      <c r="E644" t="inlineStr">
        <is>
          <t>CDS</t>
        </is>
      </c>
      <c r="F644" t="n">
        <v>0</v>
      </c>
      <c r="G644" t="n">
        <v>0</v>
      </c>
      <c r="H644" t="n">
        <v>0</v>
      </c>
      <c r="I644" t="n">
        <v>0</v>
      </c>
      <c r="J644" t="n">
        <v>0</v>
      </c>
      <c r="K644" t="n">
        <v>0</v>
      </c>
      <c r="L644" t="n">
        <v>0</v>
      </c>
      <c r="M644">
        <f>F644+G644+H644+K644-I644-J644-L644</f>
        <v/>
      </c>
      <c r="N644" t="inlineStr">
        <is>
          <t>NO APLICA</t>
        </is>
      </c>
      <c r="O644" t="n">
        <v>5</v>
      </c>
      <c r="P644">
        <f>IF(M644&lt;0, "ERROR: SOBREGIRO", IF(M644=0, "SIN EXISTENCIAS", IF(M644&lt;=O644, "STOCK BAJO", "STOCK NORMAL")))</f>
        <v/>
      </c>
    </row>
    <row r="645">
      <c r="A645" t="n">
        <v>45635</v>
      </c>
      <c r="B645" t="inlineStr">
        <is>
          <t>CAJA RADWELT 4X4 SALIDAS 1/2</t>
        </is>
      </c>
      <c r="C645" t="inlineStr">
        <is>
          <t>Materiales</t>
        </is>
      </c>
      <c r="D645" t="inlineStr">
        <is>
          <t>Caja</t>
        </is>
      </c>
      <c r="E645" t="inlineStr">
        <is>
          <t>CDS</t>
        </is>
      </c>
      <c r="F645" t="n">
        <v>4</v>
      </c>
      <c r="G645" t="n">
        <v>0</v>
      </c>
      <c r="H645" t="n">
        <v>0</v>
      </c>
      <c r="I645" t="n">
        <v>0</v>
      </c>
      <c r="J645" t="n">
        <v>0</v>
      </c>
      <c r="K645" t="n">
        <v>0</v>
      </c>
      <c r="L645" t="n">
        <v>0</v>
      </c>
      <c r="M645">
        <f>F645+G645+H645+K645-I645-J645-L645</f>
        <v/>
      </c>
      <c r="N645" t="inlineStr">
        <is>
          <t>NO APLICA</t>
        </is>
      </c>
      <c r="O645" t="n">
        <v>5</v>
      </c>
      <c r="P645">
        <f>IF(M645&lt;0, "ERROR: SOBREGIRO", IF(M645=0, "SIN EXISTENCIAS", IF(M645&lt;=O645, "STOCK BAJO", "STOCK NORMAL")))</f>
        <v/>
      </c>
    </row>
    <row r="646">
      <c r="A646" t="n">
        <v>45943</v>
      </c>
      <c r="B646" t="inlineStr">
        <is>
          <t>TORNILLO TROPICALIZADO GRADO 8 1/2" X 1 1/2"</t>
        </is>
      </c>
      <c r="C646" t="inlineStr">
        <is>
          <t>Tornilleria</t>
        </is>
      </c>
      <c r="D646" t="inlineStr">
        <is>
          <t>Unidad</t>
        </is>
      </c>
      <c r="E646" t="inlineStr">
        <is>
          <t>CDS</t>
        </is>
      </c>
      <c r="F646" t="n">
        <v>0</v>
      </c>
      <c r="G646" t="n">
        <v>0</v>
      </c>
      <c r="H646" t="n">
        <v>0</v>
      </c>
      <c r="I646" t="n">
        <v>0</v>
      </c>
      <c r="J646" t="n">
        <v>0</v>
      </c>
      <c r="K646" t="n">
        <v>0</v>
      </c>
      <c r="L646" t="n">
        <v>0</v>
      </c>
      <c r="M646">
        <f>F646+G646+H646+K646-I646-J646-L646</f>
        <v/>
      </c>
      <c r="N646" t="inlineStr">
        <is>
          <t>NO APLICA</t>
        </is>
      </c>
      <c r="O646" t="n">
        <v>5</v>
      </c>
      <c r="P646">
        <f>IF(M646&lt;0, "ERROR: SOBREGIRO", IF(M646=0, "SIN EXISTENCIAS", IF(M646&lt;=O646, "STOCK BAJO", "STOCK NORMAL")))</f>
        <v/>
      </c>
    </row>
    <row r="647">
      <c r="A647" t="n">
        <v>45955</v>
      </c>
      <c r="B647" t="inlineStr">
        <is>
          <t>JINKO 725WP N-66HL5-BDV</t>
        </is>
      </c>
      <c r="C647" t="inlineStr">
        <is>
          <t>Materiales</t>
        </is>
      </c>
      <c r="D647" t="inlineStr">
        <is>
          <t>Unidad</t>
        </is>
      </c>
      <c r="E647" t="inlineStr">
        <is>
          <t>CDS</t>
        </is>
      </c>
      <c r="F647" t="n">
        <v>0</v>
      </c>
      <c r="G647" t="n">
        <v>0</v>
      </c>
      <c r="H647" t="n">
        <v>0</v>
      </c>
      <c r="I647" t="n">
        <v>0</v>
      </c>
      <c r="J647" t="n">
        <v>0</v>
      </c>
      <c r="K647" t="n">
        <v>0</v>
      </c>
      <c r="L647" t="n">
        <v>0</v>
      </c>
      <c r="M647">
        <f>F647+G647+H647+K647-I647-J647-L647</f>
        <v/>
      </c>
      <c r="N647" t="inlineStr">
        <is>
          <t>NO APLICA</t>
        </is>
      </c>
      <c r="O647" t="n">
        <v>5</v>
      </c>
      <c r="P647">
        <f>IF(M647&lt;0, "ERROR: SOBREGIRO", IF(M647=0, "SIN EXISTENCIAS", IF(M647&lt;=O647, "STOCK BAJO", "STOCK NORMAL")))</f>
        <v/>
      </c>
    </row>
    <row r="648">
      <c r="A648" t="n">
        <v>46302</v>
      </c>
      <c r="B648" t="inlineStr">
        <is>
          <t>TRINA 620WP TSM-NEG19RC.20</t>
        </is>
      </c>
      <c r="C648" t="inlineStr">
        <is>
          <t>Materiales</t>
        </is>
      </c>
      <c r="D648" t="inlineStr">
        <is>
          <t>Unidad</t>
        </is>
      </c>
      <c r="E648" t="inlineStr">
        <is>
          <t>CDS</t>
        </is>
      </c>
      <c r="F648" t="n">
        <v>0</v>
      </c>
      <c r="G648" t="n">
        <v>0</v>
      </c>
      <c r="H648" t="n">
        <v>0</v>
      </c>
      <c r="I648" t="n">
        <v>0</v>
      </c>
      <c r="J648" t="n">
        <v>0</v>
      </c>
      <c r="K648" t="n">
        <v>0</v>
      </c>
      <c r="L648" t="n">
        <v>0</v>
      </c>
      <c r="M648">
        <f>F648+G648+H648+K648-I648-J648-L648</f>
        <v/>
      </c>
      <c r="N648" t="inlineStr">
        <is>
          <t>NO APLICA</t>
        </is>
      </c>
      <c r="O648" t="n">
        <v>5</v>
      </c>
      <c r="P648">
        <f>IF(M648&lt;0, "ERROR: SOBREGIRO", IF(M648=0, "SIN EXISTENCIAS", IF(M648&lt;=O648, "STOCK BAJO", "STOCK NORMAL")))</f>
        <v/>
      </c>
    </row>
    <row r="649">
      <c r="A649" t="n">
        <v>46303</v>
      </c>
      <c r="B649" t="inlineStr">
        <is>
          <t>TRINA 625WP TSM-NEG19RC.20</t>
        </is>
      </c>
      <c r="C649" t="inlineStr">
        <is>
          <t>Materiales</t>
        </is>
      </c>
      <c r="D649" t="inlineStr">
        <is>
          <t>Unidad</t>
        </is>
      </c>
      <c r="E649" t="inlineStr">
        <is>
          <t>CDS</t>
        </is>
      </c>
      <c r="F649" t="n">
        <v>0</v>
      </c>
      <c r="G649" t="n">
        <v>0</v>
      </c>
      <c r="H649" t="n">
        <v>0</v>
      </c>
      <c r="I649" t="n">
        <v>0</v>
      </c>
      <c r="J649" t="n">
        <v>0</v>
      </c>
      <c r="K649" t="n">
        <v>0</v>
      </c>
      <c r="L649" t="n">
        <v>0</v>
      </c>
      <c r="M649">
        <f>F649+G649+H649+K649-I649-J649-L649</f>
        <v/>
      </c>
      <c r="N649" t="inlineStr">
        <is>
          <t>NO APLICA</t>
        </is>
      </c>
      <c r="O649" t="n">
        <v>5</v>
      </c>
      <c r="P649">
        <f>IF(M649&lt;0, "ERROR: SOBREGIRO", IF(M649=0, "SIN EXISTENCIAS", IF(M649&lt;=O649, "STOCK BAJO", "STOCK NORMAL")))</f>
        <v/>
      </c>
    </row>
    <row r="650">
      <c r="A650" t="n">
        <v>46606</v>
      </c>
      <c r="B650" t="inlineStr">
        <is>
          <t>CABLE SOLAR NEGRO 6MM 2KV HF_AD8</t>
        </is>
      </c>
      <c r="C650" t="inlineStr">
        <is>
          <t>Cableado</t>
        </is>
      </c>
      <c r="D650" t="inlineStr">
        <is>
          <t>Metro</t>
        </is>
      </c>
      <c r="E650" t="inlineStr">
        <is>
          <t>CDS</t>
        </is>
      </c>
      <c r="F650" t="n">
        <v>0</v>
      </c>
      <c r="G650" t="n">
        <v>0</v>
      </c>
      <c r="H650" t="n">
        <v>0</v>
      </c>
      <c r="I650" t="n">
        <v>0</v>
      </c>
      <c r="J650" t="n">
        <v>0</v>
      </c>
      <c r="K650" t="n">
        <v>0</v>
      </c>
      <c r="L650" t="n">
        <v>0</v>
      </c>
      <c r="M650">
        <f>F650+G650+H650+K650-I650-J650-L650</f>
        <v/>
      </c>
      <c r="N650" t="inlineStr">
        <is>
          <t>NO APLICA</t>
        </is>
      </c>
      <c r="O650" t="n">
        <v>5</v>
      </c>
      <c r="P650">
        <f>IF(M650&lt;0, "ERROR: SOBREGIRO", IF(M650=0, "SIN EXISTENCIAS", IF(M650&lt;=O650, "STOCK BAJO", "STOCK NORMAL")))</f>
        <v/>
      </c>
    </row>
    <row r="651">
      <c r="A651" t="n">
        <v>48260</v>
      </c>
      <c r="B651" t="inlineStr">
        <is>
          <t>PATCH CORD LC-LC SM 9/125UM DUPLEX X2MTS IMPORT</t>
        </is>
      </c>
      <c r="C651" t="inlineStr">
        <is>
          <t>Materiales</t>
        </is>
      </c>
      <c r="D651" t="inlineStr">
        <is>
          <t>Unidad</t>
        </is>
      </c>
      <c r="E651" t="inlineStr">
        <is>
          <t>CDS</t>
        </is>
      </c>
      <c r="F651" t="n">
        <v>0</v>
      </c>
      <c r="G651" t="n">
        <v>0</v>
      </c>
      <c r="H651" t="n">
        <v>0</v>
      </c>
      <c r="I651" t="n">
        <v>0</v>
      </c>
      <c r="J651" t="n">
        <v>0</v>
      </c>
      <c r="K651" t="n">
        <v>0</v>
      </c>
      <c r="L651" t="n">
        <v>0</v>
      </c>
      <c r="M651">
        <f>F651+G651+H651+K651-I651-J651-L651</f>
        <v/>
      </c>
      <c r="N651" t="inlineStr">
        <is>
          <t>NO APLICA</t>
        </is>
      </c>
      <c r="O651" t="n">
        <v>5</v>
      </c>
      <c r="P651">
        <f>IF(M651&lt;0, "ERROR: SOBREGIRO", IF(M651=0, "SIN EXISTENCIAS", IF(M651&lt;=O651, "STOCK BAJO", "STOCK NORMAL")))</f>
        <v/>
      </c>
    </row>
    <row r="652">
      <c r="A652" t="n">
        <v>48261</v>
      </c>
      <c r="B652" t="inlineStr">
        <is>
          <t>PIG TAIL LC SM SIMPLEX 9/125UM X1.5MTS 900UM</t>
        </is>
      </c>
      <c r="C652" t="inlineStr">
        <is>
          <t>Materiales</t>
        </is>
      </c>
      <c r="D652" t="inlineStr">
        <is>
          <t>Unidad</t>
        </is>
      </c>
      <c r="E652" t="inlineStr">
        <is>
          <t>CDS</t>
        </is>
      </c>
      <c r="F652" t="n">
        <v>0</v>
      </c>
      <c r="G652" t="n">
        <v>0</v>
      </c>
      <c r="H652" t="n">
        <v>0</v>
      </c>
      <c r="I652" t="n">
        <v>0</v>
      </c>
      <c r="J652" t="n">
        <v>0</v>
      </c>
      <c r="K652" t="n">
        <v>0</v>
      </c>
      <c r="L652" t="n">
        <v>0</v>
      </c>
      <c r="M652">
        <f>F652+G652+H652+K652-I652-J652-L652</f>
        <v/>
      </c>
      <c r="N652" t="inlineStr">
        <is>
          <t>NO APLICA</t>
        </is>
      </c>
      <c r="O652" t="n">
        <v>5</v>
      </c>
      <c r="P652">
        <f>IF(M652&lt;0, "ERROR: SOBREGIRO", IF(M652=0, "SIN EXISTENCIAS", IF(M652&lt;=O652, "STOCK BAJO", "STOCK NORMAL")))</f>
        <v/>
      </c>
    </row>
    <row r="653">
      <c r="A653" t="n">
        <v>48262</v>
      </c>
      <c r="B653" t="inlineStr">
        <is>
          <t>PATCH CORD CAT6A SFTP 10FT 3M COLOR AZUL O GRIS VCP</t>
        </is>
      </c>
      <c r="C653" t="inlineStr">
        <is>
          <t>Materiales</t>
        </is>
      </c>
      <c r="D653" t="inlineStr">
        <is>
          <t>Unidad</t>
        </is>
      </c>
      <c r="E653" t="inlineStr">
        <is>
          <t>CDS</t>
        </is>
      </c>
      <c r="F653" t="n">
        <v>0</v>
      </c>
      <c r="G653" t="n">
        <v>0</v>
      </c>
      <c r="H653" t="n">
        <v>0</v>
      </c>
      <c r="I653" t="n">
        <v>0</v>
      </c>
      <c r="J653" t="n">
        <v>0</v>
      </c>
      <c r="K653" t="n">
        <v>0</v>
      </c>
      <c r="L653" t="n">
        <v>0</v>
      </c>
      <c r="M653">
        <f>F653+G653+H653+K653-I653-J653-L653</f>
        <v/>
      </c>
      <c r="N653" t="inlineStr">
        <is>
          <t>NO APLICA</t>
        </is>
      </c>
      <c r="O653" t="n">
        <v>5</v>
      </c>
      <c r="P653">
        <f>IF(M653&lt;0, "ERROR: SOBREGIRO", IF(M653=0, "SIN EXISTENCIAS", IF(M653&lt;=O653, "STOCK BAJO", "STOCK NORMAL")))</f>
        <v/>
      </c>
    </row>
    <row r="654">
      <c r="A654" t="n">
        <v>48263</v>
      </c>
      <c r="B654" t="inlineStr">
        <is>
          <t>PATCH CORD CAT6A SFTP 23FT 7M COLOR GRIS VCP</t>
        </is>
      </c>
      <c r="C654" t="inlineStr">
        <is>
          <t>Materiales</t>
        </is>
      </c>
      <c r="D654" t="inlineStr">
        <is>
          <t>Unidad</t>
        </is>
      </c>
      <c r="E654" t="inlineStr">
        <is>
          <t>CDS</t>
        </is>
      </c>
      <c r="F654" t="n">
        <v>0</v>
      </c>
      <c r="G654" t="n">
        <v>0</v>
      </c>
      <c r="H654" t="n">
        <v>0</v>
      </c>
      <c r="I654" t="n">
        <v>0</v>
      </c>
      <c r="J654" t="n">
        <v>0</v>
      </c>
      <c r="K654" t="n">
        <v>0</v>
      </c>
      <c r="L654" t="n">
        <v>0</v>
      </c>
      <c r="M654">
        <f>F654+G654+H654+K654-I654-J654-L654</f>
        <v/>
      </c>
      <c r="N654" t="inlineStr">
        <is>
          <t>NO APLICA</t>
        </is>
      </c>
      <c r="O654" t="n">
        <v>5</v>
      </c>
      <c r="P654">
        <f>IF(M654&lt;0, "ERROR: SOBREGIRO", IF(M654=0, "SIN EXISTENCIAS", IF(M654&lt;=O654, "STOCK BAJO", "STOCK NORMAL")))</f>
        <v/>
      </c>
    </row>
    <row r="655">
      <c r="A655" t="n">
        <v>48264</v>
      </c>
      <c r="B655" t="inlineStr">
        <is>
          <t>PATCH CORD CAT6A SFTP 17FT 5M COLOR GRIS SIEMON</t>
        </is>
      </c>
      <c r="C655" t="inlineStr">
        <is>
          <t>Materiales</t>
        </is>
      </c>
      <c r="D655" t="inlineStr">
        <is>
          <t>Unidad</t>
        </is>
      </c>
      <c r="E655" t="inlineStr">
        <is>
          <t>CDS</t>
        </is>
      </c>
      <c r="F655" t="n">
        <v>0</v>
      </c>
      <c r="G655" t="n">
        <v>0</v>
      </c>
      <c r="H655" t="n">
        <v>0</v>
      </c>
      <c r="I655" t="n">
        <v>0</v>
      </c>
      <c r="J655" t="n">
        <v>0</v>
      </c>
      <c r="K655" t="n">
        <v>0</v>
      </c>
      <c r="L655" t="n">
        <v>0</v>
      </c>
      <c r="M655">
        <f>F655+G655+H655+K655-I655-J655-L655</f>
        <v/>
      </c>
      <c r="N655" t="inlineStr">
        <is>
          <t>NO APLICA</t>
        </is>
      </c>
      <c r="O655" t="n">
        <v>5</v>
      </c>
      <c r="P655">
        <f>IF(M655&lt;0, "ERROR: SOBREGIRO", IF(M655=0, "SIN EXISTENCIAS", IF(M655&lt;=O655, "STOCK BAJO", "STOCK NORMAL")))</f>
        <v/>
      </c>
    </row>
    <row r="656">
      <c r="A656" t="n">
        <v>48632</v>
      </c>
      <c r="B656" t="inlineStr">
        <is>
          <t>CONECTOR COMPRESION C 6 AWG</t>
        </is>
      </c>
      <c r="C656" t="inlineStr">
        <is>
          <t>Materiales</t>
        </is>
      </c>
      <c r="D656" t="inlineStr">
        <is>
          <t>Unidad</t>
        </is>
      </c>
      <c r="E656" t="inlineStr">
        <is>
          <t>CDS</t>
        </is>
      </c>
      <c r="F656" t="n">
        <v>0</v>
      </c>
      <c r="G656" t="n">
        <v>0</v>
      </c>
      <c r="H656" t="n">
        <v>0</v>
      </c>
      <c r="I656" t="n">
        <v>0</v>
      </c>
      <c r="J656" t="n">
        <v>0</v>
      </c>
      <c r="K656" t="n">
        <v>0</v>
      </c>
      <c r="L656" t="n">
        <v>0</v>
      </c>
      <c r="M656">
        <f>F656+G656+H656+K656-I656-J656-L656</f>
        <v/>
      </c>
      <c r="N656" t="inlineStr">
        <is>
          <t>NO APLICA</t>
        </is>
      </c>
      <c r="O656" t="n">
        <v>5</v>
      </c>
      <c r="P656">
        <f>IF(M656&lt;0, "ERROR: SOBREGIRO", IF(M656=0, "SIN EXISTENCIAS", IF(M656&lt;=O656, "STOCK BAJO", "STOCK NORMAL")))</f>
        <v/>
      </c>
    </row>
  </sheetData>
  <mergeCells count="1">
    <mergeCell ref="A1:P1"/>
  </mergeCells>
  <hyperlinks>
    <hyperlink ref="P2" location="INICIO!A1" display="INICIO!A1"/>
  </hyperlink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A1:Q152"/>
  <sheetViews>
    <sheetView workbookViewId="0">
      <selection activeCell="A1" sqref="A1"/>
    </sheetView>
  </sheetViews>
  <sheetFormatPr baseColWidth="10" defaultRowHeight="15"/>
  <cols>
    <col width="16.7109375" customWidth="1" style="33" min="1" max="1"/>
    <col width="14.7109375" customWidth="1" style="33" min="2" max="2"/>
    <col width="12.7109375" customWidth="1" style="33" min="3" max="3"/>
    <col width="20.7109375" customWidth="1" style="33" min="4" max="4"/>
    <col width="16.7109375" customWidth="1" style="33" min="5" max="5"/>
    <col width="42.7109375" customWidth="1" style="33" min="6" max="6"/>
    <col width="12.7109375" customWidth="1" style="33" min="7" max="7"/>
    <col width="14.7109375" customWidth="1" style="33" min="8" max="8"/>
    <col width="20.7109375" customWidth="1" style="33" min="9" max="9"/>
    <col width="24.7109375" customWidth="1" style="33" min="10" max="11"/>
    <col width="22.7109375" customWidth="1" style="33" min="12" max="12"/>
    <col width="26.7109375" customWidth="1" style="33" min="13" max="13"/>
    <col width="20.7109375" customWidth="1" style="33" min="14" max="14"/>
    <col width="26.7109375" customWidth="1" style="33" min="15" max="15"/>
    <col width="20.7109375" customWidth="1" style="33" min="16" max="16"/>
    <col width="40.7109375" customWidth="1" style="33" min="17" max="17"/>
  </cols>
  <sheetData>
    <row r="1" ht="35.1" customHeight="1" s="33">
      <c r="A1" s="45" t="inlineStr">
        <is>
          <t>HISTORIAL Y REGISTRO COMPLETO DE MOVIMIENTOS DE INVENTARIO</t>
        </is>
      </c>
    </row>
    <row r="2">
      <c r="Q2" s="2" t="inlineStr">
        <is>
          <t>Ir a Inicio</t>
        </is>
      </c>
    </row>
    <row r="3" ht="26.1" customHeight="1" s="33">
      <c r="A3" s="1" t="inlineStr">
        <is>
          <t>N Movimiento</t>
        </is>
      </c>
      <c r="B3" s="1" t="inlineStr">
        <is>
          <t>Fecha</t>
        </is>
      </c>
      <c r="C3" s="1" t="inlineStr">
        <is>
          <t>Hora</t>
        </is>
      </c>
      <c r="D3" s="1" t="inlineStr">
        <is>
          <t>Tipo de Movimiento</t>
        </is>
      </c>
      <c r="E3" s="1" t="inlineStr">
        <is>
          <t>Codigo del Item</t>
        </is>
      </c>
      <c r="F3" s="1" t="inlineStr">
        <is>
          <t>Nombre del Item</t>
        </is>
      </c>
      <c r="G3" s="1" t="inlineStr">
        <is>
          <t>Cantidad</t>
        </is>
      </c>
      <c r="H3" s="1" t="inlineStr">
        <is>
          <t>Unidad</t>
        </is>
      </c>
      <c r="I3" s="1" t="inlineStr">
        <is>
          <t>Bodega Origen</t>
        </is>
      </c>
      <c r="J3" s="1" t="inlineStr">
        <is>
          <t>Bodega Destino</t>
        </is>
      </c>
      <c r="K3" s="1" t="inlineStr">
        <is>
          <t>Causal / Condicion</t>
        </is>
      </c>
      <c r="L3" s="1" t="inlineStr">
        <is>
          <t>Ubicacion (Bod. Central)</t>
        </is>
      </c>
      <c r="M3" s="1" t="inlineStr">
        <is>
          <t>Proyecto / Destino Final</t>
        </is>
      </c>
      <c r="N3" s="1" t="inlineStr">
        <is>
          <t>Responsable</t>
        </is>
      </c>
      <c r="O3" s="1" t="inlineStr">
        <is>
          <t>Persona que Recibe / Devuelve</t>
        </is>
      </c>
      <c r="P3" s="1" t="inlineStr">
        <is>
          <t>Documento / Referencia</t>
        </is>
      </c>
      <c r="Q3" s="1" t="inlineStr">
        <is>
          <t>Observaciones</t>
        </is>
      </c>
    </row>
    <row r="4">
      <c r="A4" t="inlineStr">
        <is>
          <t>MOV-00001</t>
        </is>
      </c>
      <c r="B4" s="59" t="n">
        <v>46264</v>
      </c>
      <c r="C4" s="4" t="n">
        <v>0.3333333333333333</v>
      </c>
      <c r="D4" t="inlineStr">
        <is>
          <t>ENTRADA</t>
        </is>
      </c>
      <c r="E4" t="n">
        <v>5366</v>
      </c>
      <c r="F4" t="inlineStr">
        <is>
          <t>CAJA CON TAPA PARA TOMA 12X12X5 TERCOL</t>
        </is>
      </c>
      <c r="G4" t="n">
        <v>15</v>
      </c>
      <c r="H4" t="inlineStr">
        <is>
          <t>Caja</t>
        </is>
      </c>
      <c r="I4" t="inlineStr">
        <is>
          <t>PROVEEDOR</t>
        </is>
      </c>
      <c r="J4" t="inlineStr">
        <is>
          <t>CDS</t>
        </is>
      </c>
      <c r="K4" t="inlineStr">
        <is>
          <t>NUEVO / INICIAL</t>
        </is>
      </c>
      <c r="L4" t="inlineStr">
        <is>
          <t>B2</t>
        </is>
      </c>
      <c r="M4" t="inlineStr">
        <is>
          <t>Operacion Central</t>
        </is>
      </c>
      <c r="N4" t="inlineStr">
        <is>
          <t>Administrador CDS</t>
        </is>
      </c>
      <c r="O4" t="inlineStr">
        <is>
          <t>Recepción Almacén</t>
        </is>
      </c>
      <c r="P4" t="inlineStr">
        <is>
          <t>CARGUE-INICIAL-EXCEL</t>
        </is>
      </c>
    </row>
    <row r="5">
      <c r="A5" t="inlineStr">
        <is>
          <t>MOV-00002</t>
        </is>
      </c>
      <c r="B5" s="59" t="n">
        <v>46264</v>
      </c>
      <c r="C5" s="4" t="n">
        <v>0.3333333333333333</v>
      </c>
      <c r="D5" t="inlineStr">
        <is>
          <t>ENTRADA</t>
        </is>
      </c>
      <c r="E5" t="n">
        <v>5419</v>
      </c>
      <c r="F5" t="inlineStr">
        <is>
          <t>CINTA PELIGRO ROJA (RIESGO ELECTRICO)</t>
        </is>
      </c>
      <c r="G5" t="n">
        <v>27</v>
      </c>
      <c r="H5" t="inlineStr">
        <is>
          <t>Rollo</t>
        </is>
      </c>
      <c r="I5" t="inlineStr">
        <is>
          <t>PROVEEDOR</t>
        </is>
      </c>
      <c r="J5" t="inlineStr">
        <is>
          <t>CDS</t>
        </is>
      </c>
      <c r="K5" t="inlineStr">
        <is>
          <t>NUEVO / INICIAL</t>
        </is>
      </c>
      <c r="L5" t="inlineStr">
        <is>
          <t>A1</t>
        </is>
      </c>
      <c r="M5" t="inlineStr">
        <is>
          <t>Operacion Central</t>
        </is>
      </c>
      <c r="N5" t="inlineStr">
        <is>
          <t>Administrador CDS</t>
        </is>
      </c>
      <c r="O5" t="inlineStr">
        <is>
          <t>Recepción Almacén</t>
        </is>
      </c>
      <c r="P5" t="inlineStr">
        <is>
          <t>CARGUE-INICIAL-EXCEL</t>
        </is>
      </c>
    </row>
    <row r="6">
      <c r="A6" t="inlineStr">
        <is>
          <t>MOV-00003</t>
        </is>
      </c>
      <c r="B6" s="59" t="n">
        <v>46264</v>
      </c>
      <c r="C6" s="4" t="n">
        <v>0.3333333333333333</v>
      </c>
      <c r="D6" t="inlineStr">
        <is>
          <t>ENTRADA</t>
        </is>
      </c>
      <c r="E6" t="n">
        <v>5420</v>
      </c>
      <c r="F6" t="inlineStr">
        <is>
          <t>CINTA PREVENCION AMARILLA</t>
        </is>
      </c>
      <c r="G6" t="n">
        <v>4</v>
      </c>
      <c r="H6" t="inlineStr">
        <is>
          <t>Rollo</t>
        </is>
      </c>
      <c r="I6" t="inlineStr">
        <is>
          <t>PROVEEDOR</t>
        </is>
      </c>
      <c r="J6" t="inlineStr">
        <is>
          <t>CDS</t>
        </is>
      </c>
      <c r="K6" t="inlineStr">
        <is>
          <t>NUEVO / INICIAL</t>
        </is>
      </c>
      <c r="L6" t="inlineStr">
        <is>
          <t>A1</t>
        </is>
      </c>
      <c r="M6" t="inlineStr">
        <is>
          <t>Operacion Central</t>
        </is>
      </c>
      <c r="N6" t="inlineStr">
        <is>
          <t>Administrador CDS</t>
        </is>
      </c>
      <c r="O6" t="inlineStr">
        <is>
          <t>Recepción Almacén</t>
        </is>
      </c>
      <c r="P6" t="inlineStr">
        <is>
          <t>CARGUE-INICIAL-EXCEL</t>
        </is>
      </c>
    </row>
    <row r="7">
      <c r="A7" t="inlineStr">
        <is>
          <t>MOV-00004</t>
        </is>
      </c>
      <c r="B7" s="59" t="n">
        <v>46264</v>
      </c>
      <c r="C7" s="4" t="n">
        <v>0.3333333333333333</v>
      </c>
      <c r="D7" t="inlineStr">
        <is>
          <t>ENTRADA</t>
        </is>
      </c>
      <c r="E7" t="n">
        <v>5473</v>
      </c>
      <c r="F7" t="inlineStr">
        <is>
          <t>TABLERO DISTRIBUCION 12 CIRCUITOS FAMATEL</t>
        </is>
      </c>
      <c r="G7" t="n">
        <v>2</v>
      </c>
      <c r="H7" t="inlineStr">
        <is>
          <t>Unidad</t>
        </is>
      </c>
      <c r="I7" t="inlineStr">
        <is>
          <t>PROVEEDOR</t>
        </is>
      </c>
      <c r="J7" t="inlineStr">
        <is>
          <t>CDS</t>
        </is>
      </c>
      <c r="K7" t="inlineStr">
        <is>
          <t>NUEVO / INICIAL</t>
        </is>
      </c>
      <c r="L7" t="inlineStr">
        <is>
          <t>B2</t>
        </is>
      </c>
      <c r="M7" t="inlineStr">
        <is>
          <t>Operacion Central</t>
        </is>
      </c>
      <c r="N7" t="inlineStr">
        <is>
          <t>Administrador CDS</t>
        </is>
      </c>
      <c r="O7" t="inlineStr">
        <is>
          <t>Recepción Almacén</t>
        </is>
      </c>
      <c r="P7" t="inlineStr">
        <is>
          <t>CARGUE-INICIAL-EXCEL</t>
        </is>
      </c>
    </row>
    <row r="8">
      <c r="A8" t="inlineStr">
        <is>
          <t>MOV-00005</t>
        </is>
      </c>
      <c r="B8" s="59" t="n">
        <v>46264</v>
      </c>
      <c r="C8" s="4" t="n">
        <v>0.3333333333333333</v>
      </c>
      <c r="D8" t="inlineStr">
        <is>
          <t>ENTRADA</t>
        </is>
      </c>
      <c r="E8" t="n">
        <v>5477</v>
      </c>
      <c r="F8" t="inlineStr">
        <is>
          <t>TABLERO DISTRIBUCION 8 CIRCUITOS FAMATEL</t>
        </is>
      </c>
      <c r="G8" t="n">
        <v>11</v>
      </c>
      <c r="H8" t="inlineStr">
        <is>
          <t>Unidad</t>
        </is>
      </c>
      <c r="I8" t="inlineStr">
        <is>
          <t>PROVEEDOR</t>
        </is>
      </c>
      <c r="J8" t="inlineStr">
        <is>
          <t>CDS</t>
        </is>
      </c>
      <c r="K8" t="inlineStr">
        <is>
          <t>NUEVO / INICIAL</t>
        </is>
      </c>
      <c r="L8" t="inlineStr">
        <is>
          <t>B2</t>
        </is>
      </c>
      <c r="M8" t="inlineStr">
        <is>
          <t>Operacion Central</t>
        </is>
      </c>
      <c r="N8" t="inlineStr">
        <is>
          <t>Administrador CDS</t>
        </is>
      </c>
      <c r="O8" t="inlineStr">
        <is>
          <t>Recepción Almacén</t>
        </is>
      </c>
      <c r="P8" t="inlineStr">
        <is>
          <t>CARGUE-INICIAL-EXCEL</t>
        </is>
      </c>
    </row>
    <row r="9">
      <c r="A9" t="inlineStr">
        <is>
          <t>MOV-00006</t>
        </is>
      </c>
      <c r="B9" s="59" t="n">
        <v>46264</v>
      </c>
      <c r="C9" s="4" t="n">
        <v>0.3333333333333333</v>
      </c>
      <c r="D9" t="inlineStr">
        <is>
          <t>ENTRADA</t>
        </is>
      </c>
      <c r="E9" t="n">
        <v>5804</v>
      </c>
      <c r="F9" t="inlineStr">
        <is>
          <t>CHAZO MARIPOSA PLASTICO BEIGE 1/4"</t>
        </is>
      </c>
      <c r="G9" t="n">
        <v>500</v>
      </c>
      <c r="H9" t="inlineStr">
        <is>
          <t>Unidad</t>
        </is>
      </c>
      <c r="I9" t="inlineStr">
        <is>
          <t>PROVEEDOR</t>
        </is>
      </c>
      <c r="J9" t="inlineStr">
        <is>
          <t>CDS</t>
        </is>
      </c>
      <c r="K9" t="inlineStr">
        <is>
          <t>NUEVO / INICIAL</t>
        </is>
      </c>
      <c r="L9" t="inlineStr">
        <is>
          <t>T3</t>
        </is>
      </c>
      <c r="M9" t="inlineStr">
        <is>
          <t>Operacion Central</t>
        </is>
      </c>
      <c r="N9" t="inlineStr">
        <is>
          <t>Administrador CDS</t>
        </is>
      </c>
      <c r="O9" t="inlineStr">
        <is>
          <t>Recepción Almacén</t>
        </is>
      </c>
      <c r="P9" t="inlineStr">
        <is>
          <t>CARGUE-INICIAL-EXCEL</t>
        </is>
      </c>
    </row>
    <row r="10">
      <c r="A10" t="inlineStr">
        <is>
          <t>MOV-00007</t>
        </is>
      </c>
      <c r="B10" s="59" t="n">
        <v>46264</v>
      </c>
      <c r="C10" s="4" t="n">
        <v>0.3333333333333333</v>
      </c>
      <c r="D10" t="inlineStr">
        <is>
          <t>ENTRADA</t>
        </is>
      </c>
      <c r="E10" t="n">
        <v>5849</v>
      </c>
      <c r="F10" t="inlineStr">
        <is>
          <t>TUERCA MORDAZA 3/8"</t>
        </is>
      </c>
      <c r="G10" t="n">
        <v>268</v>
      </c>
      <c r="H10" t="inlineStr">
        <is>
          <t>Unidad</t>
        </is>
      </c>
      <c r="I10" t="inlineStr">
        <is>
          <t>PROVEEDOR</t>
        </is>
      </c>
      <c r="J10" t="inlineStr">
        <is>
          <t>CDS</t>
        </is>
      </c>
      <c r="K10" t="inlineStr">
        <is>
          <t>NUEVO / INICIAL</t>
        </is>
      </c>
      <c r="L10" t="inlineStr">
        <is>
          <t>B4</t>
        </is>
      </c>
      <c r="M10" t="inlineStr">
        <is>
          <t>Operacion Central</t>
        </is>
      </c>
      <c r="N10" t="inlineStr">
        <is>
          <t>Administrador CDS</t>
        </is>
      </c>
      <c r="O10" t="inlineStr">
        <is>
          <t>Recepción Almacén</t>
        </is>
      </c>
      <c r="P10" t="inlineStr">
        <is>
          <t>CARGUE-INICIAL-EXCEL</t>
        </is>
      </c>
    </row>
    <row r="11">
      <c r="A11" t="inlineStr">
        <is>
          <t>MOV-00008</t>
        </is>
      </c>
      <c r="B11" s="59" t="n">
        <v>46264</v>
      </c>
      <c r="C11" s="4" t="n">
        <v>0.3333333333333333</v>
      </c>
      <c r="D11" t="inlineStr">
        <is>
          <t>ENTRADA</t>
        </is>
      </c>
      <c r="E11" t="n">
        <v>6164</v>
      </c>
      <c r="F11" t="inlineStr">
        <is>
          <t>ECLAMP 30 MM</t>
        </is>
      </c>
      <c r="G11" t="n">
        <v>246</v>
      </c>
      <c r="H11" t="inlineStr">
        <is>
          <t>Unidad</t>
        </is>
      </c>
      <c r="I11" t="inlineStr">
        <is>
          <t>PROVEEDOR</t>
        </is>
      </c>
      <c r="J11" t="inlineStr">
        <is>
          <t>CDS</t>
        </is>
      </c>
      <c r="K11" t="inlineStr">
        <is>
          <t>NUEVO / INICIAL</t>
        </is>
      </c>
      <c r="L11" t="inlineStr">
        <is>
          <t>B4</t>
        </is>
      </c>
      <c r="M11" t="inlineStr">
        <is>
          <t>Operacion Central</t>
        </is>
      </c>
      <c r="N11" t="inlineStr">
        <is>
          <t>Administrador CDS</t>
        </is>
      </c>
      <c r="O11" t="inlineStr">
        <is>
          <t>Recepción Almacén</t>
        </is>
      </c>
      <c r="P11" t="inlineStr">
        <is>
          <t>CARGUE-INICIAL-EXCEL</t>
        </is>
      </c>
    </row>
    <row r="12">
      <c r="A12" t="inlineStr">
        <is>
          <t>MOV-00009</t>
        </is>
      </c>
      <c r="B12" s="59" t="n">
        <v>46264</v>
      </c>
      <c r="C12" s="4" t="n">
        <v>0.3333333333333333</v>
      </c>
      <c r="D12" t="inlineStr">
        <is>
          <t>ENTRADA</t>
        </is>
      </c>
      <c r="E12" t="n">
        <v>6165</v>
      </c>
      <c r="F12" t="inlineStr">
        <is>
          <t>ECLAMP 35 MM</t>
        </is>
      </c>
      <c r="G12" t="n">
        <v>776</v>
      </c>
      <c r="H12" t="inlineStr">
        <is>
          <t>Unidad</t>
        </is>
      </c>
      <c r="I12" t="inlineStr">
        <is>
          <t>PROVEEDOR</t>
        </is>
      </c>
      <c r="J12" t="inlineStr">
        <is>
          <t>CDS</t>
        </is>
      </c>
      <c r="K12" t="inlineStr">
        <is>
          <t>NUEVO / INICIAL</t>
        </is>
      </c>
      <c r="L12" t="inlineStr">
        <is>
          <t>B4</t>
        </is>
      </c>
      <c r="M12" t="inlineStr">
        <is>
          <t>Operacion Central</t>
        </is>
      </c>
      <c r="N12" t="inlineStr">
        <is>
          <t>Administrador CDS</t>
        </is>
      </c>
      <c r="O12" t="inlineStr">
        <is>
          <t>Recepción Almacén</t>
        </is>
      </c>
      <c r="P12" t="inlineStr">
        <is>
          <t>CARGUE-INICIAL-EXCEL</t>
        </is>
      </c>
    </row>
    <row r="13">
      <c r="A13" t="inlineStr">
        <is>
          <t>MOV-00010</t>
        </is>
      </c>
      <c r="B13" s="59" t="n">
        <v>46264</v>
      </c>
      <c r="C13" s="4" t="n">
        <v>0.3333333333333333</v>
      </c>
      <c r="D13" t="inlineStr">
        <is>
          <t>ENTRADA</t>
        </is>
      </c>
      <c r="E13" t="n">
        <v>6166</v>
      </c>
      <c r="F13" t="inlineStr">
        <is>
          <t>ECLAMP 40 MM</t>
        </is>
      </c>
      <c r="G13" t="n">
        <v>248</v>
      </c>
      <c r="H13" t="inlineStr">
        <is>
          <t>Unidad</t>
        </is>
      </c>
      <c r="I13" t="inlineStr">
        <is>
          <t>PROVEEDOR</t>
        </is>
      </c>
      <c r="J13" t="inlineStr">
        <is>
          <t>CDS</t>
        </is>
      </c>
      <c r="K13" t="inlineStr">
        <is>
          <t>NUEVO / INICIAL</t>
        </is>
      </c>
      <c r="L13" t="inlineStr">
        <is>
          <t>B4</t>
        </is>
      </c>
      <c r="M13" t="inlineStr">
        <is>
          <t>Operacion Central</t>
        </is>
      </c>
      <c r="N13" t="inlineStr">
        <is>
          <t>Administrador CDS</t>
        </is>
      </c>
      <c r="O13" t="inlineStr">
        <is>
          <t>Recepción Almacén</t>
        </is>
      </c>
      <c r="P13" t="inlineStr">
        <is>
          <t>CARGUE-INICIAL-EXCEL</t>
        </is>
      </c>
    </row>
    <row r="14">
      <c r="A14" t="inlineStr">
        <is>
          <t>MOV-00011</t>
        </is>
      </c>
      <c r="B14" s="59" t="n">
        <v>46264</v>
      </c>
      <c r="C14" s="4" t="n">
        <v>0.3333333333333333</v>
      </c>
      <c r="D14" t="inlineStr">
        <is>
          <t>ENTRADA</t>
        </is>
      </c>
      <c r="E14" t="n">
        <v>6167</v>
      </c>
      <c r="F14" t="inlineStr">
        <is>
          <t>GCLAMP 3 TORNILLOS</t>
        </is>
      </c>
      <c r="G14" t="n">
        <v>282</v>
      </c>
      <c r="H14" t="inlineStr">
        <is>
          <t>Unidad</t>
        </is>
      </c>
      <c r="I14" t="inlineStr">
        <is>
          <t>PROVEEDOR</t>
        </is>
      </c>
      <c r="J14" t="inlineStr">
        <is>
          <t>CDS</t>
        </is>
      </c>
      <c r="K14" t="inlineStr">
        <is>
          <t>NUEVO / INICIAL</t>
        </is>
      </c>
      <c r="L14" t="inlineStr">
        <is>
          <t>B4</t>
        </is>
      </c>
      <c r="M14" t="inlineStr">
        <is>
          <t>Operacion Central</t>
        </is>
      </c>
      <c r="N14" t="inlineStr">
        <is>
          <t>Administrador CDS</t>
        </is>
      </c>
      <c r="O14" t="inlineStr">
        <is>
          <t>Recepción Almacén</t>
        </is>
      </c>
      <c r="P14" t="inlineStr">
        <is>
          <t>CARGUE-INICIAL-EXCEL</t>
        </is>
      </c>
    </row>
    <row r="15">
      <c r="A15" t="inlineStr">
        <is>
          <t>MOV-00012</t>
        </is>
      </c>
      <c r="B15" s="59" t="n">
        <v>46264</v>
      </c>
      <c r="C15" s="4" t="n">
        <v>0.3333333333333333</v>
      </c>
      <c r="D15" t="inlineStr">
        <is>
          <t>ENTRADA</t>
        </is>
      </c>
      <c r="E15" t="n">
        <v>6169</v>
      </c>
      <c r="F15" t="inlineStr">
        <is>
          <t>GCLAMP PESTAÑA ANCHA</t>
        </is>
      </c>
      <c r="G15" t="n">
        <v>234</v>
      </c>
      <c r="H15" t="inlineStr">
        <is>
          <t>Unidad</t>
        </is>
      </c>
      <c r="I15" t="inlineStr">
        <is>
          <t>PROVEEDOR</t>
        </is>
      </c>
      <c r="J15" t="inlineStr">
        <is>
          <t>CDS</t>
        </is>
      </c>
      <c r="K15" t="inlineStr">
        <is>
          <t>NUEVO / INICIAL</t>
        </is>
      </c>
      <c r="L15" t="inlineStr">
        <is>
          <t>B4</t>
        </is>
      </c>
      <c r="M15" t="inlineStr">
        <is>
          <t>Operacion Central</t>
        </is>
      </c>
      <c r="N15" t="inlineStr">
        <is>
          <t>Administrador CDS</t>
        </is>
      </c>
      <c r="O15" t="inlineStr">
        <is>
          <t>Recepción Almacén</t>
        </is>
      </c>
      <c r="P15" t="inlineStr">
        <is>
          <t>CARGUE-INICIAL-EXCEL</t>
        </is>
      </c>
    </row>
    <row r="16">
      <c r="A16" t="inlineStr">
        <is>
          <t>MOV-00013</t>
        </is>
      </c>
      <c r="B16" s="59" t="n">
        <v>46264</v>
      </c>
      <c r="C16" s="4" t="n">
        <v>0.3333333333333333</v>
      </c>
      <c r="D16" t="inlineStr">
        <is>
          <t>ENTRADA</t>
        </is>
      </c>
      <c r="E16" t="n">
        <v>6170</v>
      </c>
      <c r="F16" t="inlineStr">
        <is>
          <t>GROUND CLAMP</t>
        </is>
      </c>
      <c r="G16" t="n">
        <v>16</v>
      </c>
      <c r="H16" t="inlineStr">
        <is>
          <t>Unidad</t>
        </is>
      </c>
      <c r="I16" t="inlineStr">
        <is>
          <t>PROVEEDOR</t>
        </is>
      </c>
      <c r="J16" t="inlineStr">
        <is>
          <t>CDS</t>
        </is>
      </c>
      <c r="K16" t="inlineStr">
        <is>
          <t>NUEVO / INICIAL</t>
        </is>
      </c>
      <c r="L16" t="inlineStr">
        <is>
          <t>B5</t>
        </is>
      </c>
      <c r="M16" t="inlineStr">
        <is>
          <t>Operacion Central</t>
        </is>
      </c>
      <c r="N16" t="inlineStr">
        <is>
          <t>Administrador CDS</t>
        </is>
      </c>
      <c r="O16" t="inlineStr">
        <is>
          <t>Recepción Almacén</t>
        </is>
      </c>
      <c r="P16" t="inlineStr">
        <is>
          <t>CARGUE-INICIAL-EXCEL</t>
        </is>
      </c>
    </row>
    <row r="17">
      <c r="A17" t="inlineStr">
        <is>
          <t>MOV-00014</t>
        </is>
      </c>
      <c r="B17" s="59" t="n">
        <v>46264</v>
      </c>
      <c r="C17" s="4" t="n">
        <v>0.3333333333333333</v>
      </c>
      <c r="D17" t="inlineStr">
        <is>
          <t>ENTRADA</t>
        </is>
      </c>
      <c r="E17" t="n">
        <v>6171</v>
      </c>
      <c r="F17" t="inlineStr">
        <is>
          <t>L DOBLE TORNILLO</t>
        </is>
      </c>
      <c r="G17" t="n">
        <v>293</v>
      </c>
      <c r="H17" t="inlineStr">
        <is>
          <t>Unidad</t>
        </is>
      </c>
      <c r="I17" t="inlineStr">
        <is>
          <t>PROVEEDOR</t>
        </is>
      </c>
      <c r="J17" t="inlineStr">
        <is>
          <t>CDS</t>
        </is>
      </c>
      <c r="K17" t="inlineStr">
        <is>
          <t>NUEVO / INICIAL</t>
        </is>
      </c>
      <c r="L17" t="inlineStr">
        <is>
          <t>B5</t>
        </is>
      </c>
      <c r="M17" t="inlineStr">
        <is>
          <t>Operacion Central</t>
        </is>
      </c>
      <c r="N17" t="inlineStr">
        <is>
          <t>Administrador CDS</t>
        </is>
      </c>
      <c r="O17" t="inlineStr">
        <is>
          <t>Recepción Almacén</t>
        </is>
      </c>
      <c r="P17" t="inlineStr">
        <is>
          <t>CARGUE-INICIAL-EXCEL</t>
        </is>
      </c>
    </row>
    <row r="18">
      <c r="A18" t="inlineStr">
        <is>
          <t>MOV-00015</t>
        </is>
      </c>
      <c r="B18" s="59" t="n">
        <v>46264</v>
      </c>
      <c r="C18" s="4" t="n">
        <v>0.3333333333333333</v>
      </c>
      <c r="D18" t="inlineStr">
        <is>
          <t>ENTRADA</t>
        </is>
      </c>
      <c r="E18" t="n">
        <v>6173</v>
      </c>
      <c r="F18" t="inlineStr">
        <is>
          <t>MCLAMP 30 MM</t>
        </is>
      </c>
      <c r="G18" t="n">
        <v>447</v>
      </c>
      <c r="H18" t="inlineStr">
        <is>
          <t>Unidad</t>
        </is>
      </c>
      <c r="I18" t="inlineStr">
        <is>
          <t>PROVEEDOR</t>
        </is>
      </c>
      <c r="J18" t="inlineStr">
        <is>
          <t>CDS</t>
        </is>
      </c>
      <c r="K18" t="inlineStr">
        <is>
          <t>NUEVO / INICIAL</t>
        </is>
      </c>
      <c r="L18" t="inlineStr">
        <is>
          <t>B4</t>
        </is>
      </c>
      <c r="M18" t="inlineStr">
        <is>
          <t>Operacion Central</t>
        </is>
      </c>
      <c r="N18" t="inlineStr">
        <is>
          <t>Administrador CDS</t>
        </is>
      </c>
      <c r="O18" t="inlineStr">
        <is>
          <t>Recepción Almacén</t>
        </is>
      </c>
      <c r="P18" t="inlineStr">
        <is>
          <t>CARGUE-INICIAL-EXCEL</t>
        </is>
      </c>
    </row>
    <row r="19">
      <c r="A19" t="inlineStr">
        <is>
          <t>MOV-00016</t>
        </is>
      </c>
      <c r="B19" s="59" t="n">
        <v>46264</v>
      </c>
      <c r="C19" s="4" t="n">
        <v>0.3333333333333333</v>
      </c>
      <c r="D19" t="inlineStr">
        <is>
          <t>ENTRADA</t>
        </is>
      </c>
      <c r="E19" t="n">
        <v>6174</v>
      </c>
      <c r="F19" t="inlineStr">
        <is>
          <t>MCLAMP 35 MM</t>
        </is>
      </c>
      <c r="G19" t="n">
        <v>38</v>
      </c>
      <c r="H19" t="inlineStr">
        <is>
          <t>Unidad</t>
        </is>
      </c>
      <c r="I19" t="inlineStr">
        <is>
          <t>PROVEEDOR</t>
        </is>
      </c>
      <c r="J19" t="inlineStr">
        <is>
          <t>CDS</t>
        </is>
      </c>
      <c r="K19" t="inlineStr">
        <is>
          <t>NUEVO / INICIAL</t>
        </is>
      </c>
      <c r="L19" t="inlineStr">
        <is>
          <t>B4</t>
        </is>
      </c>
      <c r="M19" t="inlineStr">
        <is>
          <t>Operacion Central</t>
        </is>
      </c>
      <c r="N19" t="inlineStr">
        <is>
          <t>Administrador CDS</t>
        </is>
      </c>
      <c r="O19" t="inlineStr">
        <is>
          <t>Recepción Almacén</t>
        </is>
      </c>
      <c r="P19" t="inlineStr">
        <is>
          <t>CARGUE-INICIAL-EXCEL</t>
        </is>
      </c>
    </row>
    <row r="20">
      <c r="A20" t="inlineStr">
        <is>
          <t>MOV-00017</t>
        </is>
      </c>
      <c r="B20" s="59" t="n">
        <v>46264</v>
      </c>
      <c r="C20" s="4" t="n">
        <v>0.3333333333333333</v>
      </c>
      <c r="D20" t="inlineStr">
        <is>
          <t>ENTRADA</t>
        </is>
      </c>
      <c r="E20" t="n">
        <v>6175</v>
      </c>
      <c r="F20" t="inlineStr">
        <is>
          <t>MCLAMP 40 MM</t>
        </is>
      </c>
      <c r="G20" t="n">
        <v>376</v>
      </c>
      <c r="H20" t="inlineStr">
        <is>
          <t>Unidad</t>
        </is>
      </c>
      <c r="I20" t="inlineStr">
        <is>
          <t>PROVEEDOR</t>
        </is>
      </c>
      <c r="J20" t="inlineStr">
        <is>
          <t>CDS</t>
        </is>
      </c>
      <c r="K20" t="inlineStr">
        <is>
          <t>NUEVO / INICIAL</t>
        </is>
      </c>
      <c r="L20" t="inlineStr">
        <is>
          <t>B4</t>
        </is>
      </c>
      <c r="M20" t="inlineStr">
        <is>
          <t>Operacion Central</t>
        </is>
      </c>
      <c r="N20" t="inlineStr">
        <is>
          <t>Administrador CDS</t>
        </is>
      </c>
      <c r="O20" t="inlineStr">
        <is>
          <t>Recepción Almacén</t>
        </is>
      </c>
      <c r="P20" t="inlineStr">
        <is>
          <t>CARGUE-INICIAL-EXCEL</t>
        </is>
      </c>
    </row>
    <row r="21">
      <c r="A21" t="inlineStr">
        <is>
          <t>MOV-00018</t>
        </is>
      </c>
      <c r="B21" s="59" t="n">
        <v>46264</v>
      </c>
      <c r="C21" s="4" t="n">
        <v>0.3333333333333333</v>
      </c>
      <c r="D21" t="inlineStr">
        <is>
          <t>ENTRADA</t>
        </is>
      </c>
      <c r="E21" t="n">
        <v>6240</v>
      </c>
      <c r="F21" t="inlineStr">
        <is>
          <t>SOPORTE TEJA DE BARRO (Z)</t>
        </is>
      </c>
      <c r="G21" t="n">
        <v>91</v>
      </c>
      <c r="H21" t="inlineStr">
        <is>
          <t>Unidad</t>
        </is>
      </c>
      <c r="I21" t="inlineStr">
        <is>
          <t>PROVEEDOR</t>
        </is>
      </c>
      <c r="J21" t="inlineStr">
        <is>
          <t>CDS</t>
        </is>
      </c>
      <c r="K21" t="inlineStr">
        <is>
          <t>NUEVO / INICIAL</t>
        </is>
      </c>
      <c r="L21" t="inlineStr">
        <is>
          <t>B4</t>
        </is>
      </c>
      <c r="M21" t="inlineStr">
        <is>
          <t>Operacion Central</t>
        </is>
      </c>
      <c r="N21" t="inlineStr">
        <is>
          <t>Administrador CDS</t>
        </is>
      </c>
      <c r="O21" t="inlineStr">
        <is>
          <t>Recepción Almacén</t>
        </is>
      </c>
      <c r="P21" t="inlineStr">
        <is>
          <t>CARGUE-INICIAL-EXCEL</t>
        </is>
      </c>
    </row>
    <row r="22">
      <c r="A22" t="inlineStr">
        <is>
          <t>MOV-00019</t>
        </is>
      </c>
      <c r="B22" s="59" t="n">
        <v>46264</v>
      </c>
      <c r="C22" s="4" t="n">
        <v>0.3333333333333333</v>
      </c>
      <c r="D22" t="inlineStr">
        <is>
          <t>ENTRADA</t>
        </is>
      </c>
      <c r="E22" t="n">
        <v>6241</v>
      </c>
      <c r="F22" t="inlineStr">
        <is>
          <t>SOPORTE TEJA TRAPEZOIDAL</t>
        </is>
      </c>
      <c r="G22" t="n">
        <v>285</v>
      </c>
      <c r="H22" t="inlineStr">
        <is>
          <t>Unidad</t>
        </is>
      </c>
      <c r="I22" t="inlineStr">
        <is>
          <t>PROVEEDOR</t>
        </is>
      </c>
      <c r="J22" t="inlineStr">
        <is>
          <t>CDS</t>
        </is>
      </c>
      <c r="K22" t="inlineStr">
        <is>
          <t>NUEVO / INICIAL</t>
        </is>
      </c>
      <c r="L22" t="inlineStr">
        <is>
          <t>B5</t>
        </is>
      </c>
      <c r="M22" t="inlineStr">
        <is>
          <t>Operacion Central</t>
        </is>
      </c>
      <c r="N22" t="inlineStr">
        <is>
          <t>Administrador CDS</t>
        </is>
      </c>
      <c r="O22" t="inlineStr">
        <is>
          <t>Recepción Almacén</t>
        </is>
      </c>
      <c r="P22" t="inlineStr">
        <is>
          <t>CARGUE-INICIAL-EXCEL</t>
        </is>
      </c>
    </row>
    <row r="23">
      <c r="A23" t="inlineStr">
        <is>
          <t>MOV-00020</t>
        </is>
      </c>
      <c r="B23" s="59" t="n">
        <v>46264</v>
      </c>
      <c r="C23" s="4" t="n">
        <v>0.3333333333333333</v>
      </c>
      <c r="D23" t="inlineStr">
        <is>
          <t>ENTRADA</t>
        </is>
      </c>
      <c r="E23" t="n">
        <v>7117</v>
      </c>
      <c r="F23" t="inlineStr">
        <is>
          <t>INTERRUPTOR DIFERENCIAL 1P + N 25A (30MA) LS</t>
        </is>
      </c>
      <c r="G23" t="n">
        <v>10</v>
      </c>
      <c r="H23" t="inlineStr">
        <is>
          <t>Unidad</t>
        </is>
      </c>
      <c r="I23" t="inlineStr">
        <is>
          <t>PROVEEDOR</t>
        </is>
      </c>
      <c r="J23" t="inlineStr">
        <is>
          <t>CDS</t>
        </is>
      </c>
      <c r="K23" t="inlineStr">
        <is>
          <t>NUEVO / INICIAL</t>
        </is>
      </c>
      <c r="L23" t="inlineStr">
        <is>
          <t>C2</t>
        </is>
      </c>
      <c r="M23" t="inlineStr">
        <is>
          <t>Operacion Central</t>
        </is>
      </c>
      <c r="N23" t="inlineStr">
        <is>
          <t>Administrador CDS</t>
        </is>
      </c>
      <c r="O23" t="inlineStr">
        <is>
          <t>Recepción Almacén</t>
        </is>
      </c>
      <c r="P23" t="inlineStr">
        <is>
          <t>CARGUE-INICIAL-EXCEL</t>
        </is>
      </c>
    </row>
    <row r="24">
      <c r="A24" t="inlineStr">
        <is>
          <t>MOV-00021</t>
        </is>
      </c>
      <c r="B24" s="59" t="n">
        <v>46264</v>
      </c>
      <c r="C24" s="4" t="n">
        <v>0.3333333333333333</v>
      </c>
      <c r="D24" t="inlineStr">
        <is>
          <t>ENTRADA</t>
        </is>
      </c>
      <c r="E24" t="n">
        <v>7118</v>
      </c>
      <c r="F24" t="inlineStr">
        <is>
          <t>INTERRUPTOR DIFERENCIAL 1P + N 32A (30MA) LS</t>
        </is>
      </c>
      <c r="G24" t="n">
        <v>4</v>
      </c>
      <c r="H24" t="inlineStr">
        <is>
          <t>Unidad</t>
        </is>
      </c>
      <c r="I24" t="inlineStr">
        <is>
          <t>PROVEEDOR</t>
        </is>
      </c>
      <c r="J24" t="inlineStr">
        <is>
          <t>CDS</t>
        </is>
      </c>
      <c r="K24" t="inlineStr">
        <is>
          <t>NUEVO / INICIAL</t>
        </is>
      </c>
      <c r="L24" t="inlineStr">
        <is>
          <t>C2</t>
        </is>
      </c>
      <c r="M24" t="inlineStr">
        <is>
          <t>Operacion Central</t>
        </is>
      </c>
      <c r="N24" t="inlineStr">
        <is>
          <t>Administrador CDS</t>
        </is>
      </c>
      <c r="O24" t="inlineStr">
        <is>
          <t>Recepción Almacén</t>
        </is>
      </c>
      <c r="P24" t="inlineStr">
        <is>
          <t>CARGUE-INICIAL-EXCEL</t>
        </is>
      </c>
    </row>
    <row r="25">
      <c r="A25" t="inlineStr">
        <is>
          <t>MOV-00022</t>
        </is>
      </c>
      <c r="B25" s="59" t="n">
        <v>46264</v>
      </c>
      <c r="C25" s="4" t="n">
        <v>0.3333333333333333</v>
      </c>
      <c r="D25" t="inlineStr">
        <is>
          <t>ENTRADA</t>
        </is>
      </c>
      <c r="E25" t="n">
        <v>7120</v>
      </c>
      <c r="F25" t="inlineStr">
        <is>
          <t>INTERRUPTOR DIFERENCIAL 1P + N 40A (30MA) LS</t>
        </is>
      </c>
      <c r="G25" t="n">
        <v>7</v>
      </c>
      <c r="H25" t="inlineStr">
        <is>
          <t>Unidad</t>
        </is>
      </c>
      <c r="I25" t="inlineStr">
        <is>
          <t>PROVEEDOR</t>
        </is>
      </c>
      <c r="J25" t="inlineStr">
        <is>
          <t>CDS</t>
        </is>
      </c>
      <c r="K25" t="inlineStr">
        <is>
          <t>NUEVO / INICIAL</t>
        </is>
      </c>
      <c r="L25" t="inlineStr">
        <is>
          <t>C2</t>
        </is>
      </c>
      <c r="M25" t="inlineStr">
        <is>
          <t>Operacion Central</t>
        </is>
      </c>
      <c r="N25" t="inlineStr">
        <is>
          <t>Administrador CDS</t>
        </is>
      </c>
      <c r="O25" t="inlineStr">
        <is>
          <t>Recepción Almacén</t>
        </is>
      </c>
      <c r="P25" t="inlineStr">
        <is>
          <t>CARGUE-INICIAL-EXCEL</t>
        </is>
      </c>
    </row>
    <row r="26">
      <c r="A26" t="inlineStr">
        <is>
          <t>MOV-00023</t>
        </is>
      </c>
      <c r="B26" s="59" t="n">
        <v>46264</v>
      </c>
      <c r="C26" s="4" t="n">
        <v>0.3333333333333333</v>
      </c>
      <c r="D26" t="inlineStr">
        <is>
          <t>ENTRADA</t>
        </is>
      </c>
      <c r="E26" t="n">
        <v>7121</v>
      </c>
      <c r="F26" t="inlineStr">
        <is>
          <t>INTERRUPTOR DIFERENCIAL 1P + N 63A (30MA) LS</t>
        </is>
      </c>
      <c r="G26" t="n">
        <v>7</v>
      </c>
      <c r="H26" t="inlineStr">
        <is>
          <t>Unidad</t>
        </is>
      </c>
      <c r="I26" t="inlineStr">
        <is>
          <t>PROVEEDOR</t>
        </is>
      </c>
      <c r="J26" t="inlineStr">
        <is>
          <t>CDS</t>
        </is>
      </c>
      <c r="K26" t="inlineStr">
        <is>
          <t>NUEVO / INICIAL</t>
        </is>
      </c>
      <c r="L26" t="inlineStr">
        <is>
          <t>C2</t>
        </is>
      </c>
      <c r="M26" t="inlineStr">
        <is>
          <t>Operacion Central</t>
        </is>
      </c>
      <c r="N26" t="inlineStr">
        <is>
          <t>Administrador CDS</t>
        </is>
      </c>
      <c r="O26" t="inlineStr">
        <is>
          <t>Recepción Almacén</t>
        </is>
      </c>
      <c r="P26" t="inlineStr">
        <is>
          <t>CARGUE-INICIAL-EXCEL</t>
        </is>
      </c>
    </row>
    <row r="27">
      <c r="A27" t="inlineStr">
        <is>
          <t>MOV-00024</t>
        </is>
      </c>
      <c r="B27" s="59" t="n">
        <v>46264</v>
      </c>
      <c r="C27" s="4" t="n">
        <v>0.3333333333333333</v>
      </c>
      <c r="D27" t="inlineStr">
        <is>
          <t>ENTRADA</t>
        </is>
      </c>
      <c r="E27" t="n">
        <v>7131</v>
      </c>
      <c r="F27" t="inlineStr">
        <is>
          <t>INTERRUPTOR TERMOMAGNETICO ENCHUFABLE BIPOLAR 20A (10KA) LS</t>
        </is>
      </c>
      <c r="G27" t="n">
        <v>7</v>
      </c>
      <c r="H27" t="inlineStr">
        <is>
          <t>Unidad</t>
        </is>
      </c>
      <c r="I27" t="inlineStr">
        <is>
          <t>PROVEEDOR</t>
        </is>
      </c>
      <c r="J27" t="inlineStr">
        <is>
          <t>CDS</t>
        </is>
      </c>
      <c r="K27" t="inlineStr">
        <is>
          <t>NUEVO / INICIAL</t>
        </is>
      </c>
      <c r="L27" t="inlineStr">
        <is>
          <t>C2</t>
        </is>
      </c>
      <c r="M27" t="inlineStr">
        <is>
          <t>Operacion Central</t>
        </is>
      </c>
      <c r="N27" t="inlineStr">
        <is>
          <t>Administrador CDS</t>
        </is>
      </c>
      <c r="O27" t="inlineStr">
        <is>
          <t>Recepción Almacén</t>
        </is>
      </c>
      <c r="P27" t="inlineStr">
        <is>
          <t>CARGUE-INICIAL-EXCEL</t>
        </is>
      </c>
    </row>
    <row r="28">
      <c r="A28" t="inlineStr">
        <is>
          <t>MOV-00025</t>
        </is>
      </c>
      <c r="B28" s="59" t="n">
        <v>46264</v>
      </c>
      <c r="C28" s="4" t="n">
        <v>0.3333333333333333</v>
      </c>
      <c r="D28" t="inlineStr">
        <is>
          <t>ENTRADA</t>
        </is>
      </c>
      <c r="E28" t="n">
        <v>7132</v>
      </c>
      <c r="F28" t="inlineStr">
        <is>
          <t>INTERRUPTOR TERMOMAGNETICO ENCHUFABLE BIPOLAR 30A (10KA) LS</t>
        </is>
      </c>
      <c r="G28" t="n">
        <v>8</v>
      </c>
      <c r="H28" t="inlineStr">
        <is>
          <t>Unidad</t>
        </is>
      </c>
      <c r="I28" t="inlineStr">
        <is>
          <t>PROVEEDOR</t>
        </is>
      </c>
      <c r="J28" t="inlineStr">
        <is>
          <t>CDS</t>
        </is>
      </c>
      <c r="K28" t="inlineStr">
        <is>
          <t>NUEVO / INICIAL</t>
        </is>
      </c>
      <c r="L28" t="inlineStr">
        <is>
          <t>C2</t>
        </is>
      </c>
      <c r="M28" t="inlineStr">
        <is>
          <t>Operacion Central</t>
        </is>
      </c>
      <c r="N28" t="inlineStr">
        <is>
          <t>Administrador CDS</t>
        </is>
      </c>
      <c r="O28" t="inlineStr">
        <is>
          <t>Recepción Almacén</t>
        </is>
      </c>
      <c r="P28" t="inlineStr">
        <is>
          <t>CARGUE-INICIAL-EXCEL</t>
        </is>
      </c>
    </row>
    <row r="29">
      <c r="A29" t="inlineStr">
        <is>
          <t>MOV-00026</t>
        </is>
      </c>
      <c r="B29" s="59" t="n">
        <v>46264</v>
      </c>
      <c r="C29" s="4" t="n">
        <v>0.3333333333333333</v>
      </c>
      <c r="D29" t="inlineStr">
        <is>
          <t>ENTRADA</t>
        </is>
      </c>
      <c r="E29" t="n">
        <v>7133</v>
      </c>
      <c r="F29" t="inlineStr">
        <is>
          <t>INTERRUPTOR TERMOMAGNETICO ENCHUFABLE BIPOLAR 40A (10KA) LS</t>
        </is>
      </c>
      <c r="G29" t="n">
        <v>18</v>
      </c>
      <c r="H29" t="inlineStr">
        <is>
          <t>Unidad</t>
        </is>
      </c>
      <c r="I29" t="inlineStr">
        <is>
          <t>PROVEEDOR</t>
        </is>
      </c>
      <c r="J29" t="inlineStr">
        <is>
          <t>CDS</t>
        </is>
      </c>
      <c r="K29" t="inlineStr">
        <is>
          <t>NUEVO / INICIAL</t>
        </is>
      </c>
      <c r="L29" t="inlineStr">
        <is>
          <t>C2</t>
        </is>
      </c>
      <c r="M29" t="inlineStr">
        <is>
          <t>Operacion Central</t>
        </is>
      </c>
      <c r="N29" t="inlineStr">
        <is>
          <t>Administrador CDS</t>
        </is>
      </c>
      <c r="O29" t="inlineStr">
        <is>
          <t>Recepción Almacén</t>
        </is>
      </c>
      <c r="P29" t="inlineStr">
        <is>
          <t>CARGUE-INICIAL-EXCEL</t>
        </is>
      </c>
    </row>
    <row r="30">
      <c r="A30" t="inlineStr">
        <is>
          <t>MOV-00027</t>
        </is>
      </c>
      <c r="B30" s="59" t="n">
        <v>46264</v>
      </c>
      <c r="C30" s="4" t="n">
        <v>0.3333333333333333</v>
      </c>
      <c r="D30" t="inlineStr">
        <is>
          <t>ENTRADA</t>
        </is>
      </c>
      <c r="E30" t="n">
        <v>7135</v>
      </c>
      <c r="F30" t="inlineStr">
        <is>
          <t>INTERRUPTOR TERMOMAGNETICO ENCHUFABLE BIPOLAR 50A (10KA) LS</t>
        </is>
      </c>
      <c r="G30" t="n">
        <v>4</v>
      </c>
      <c r="H30" t="inlineStr">
        <is>
          <t>Unidad</t>
        </is>
      </c>
      <c r="I30" t="inlineStr">
        <is>
          <t>PROVEEDOR</t>
        </is>
      </c>
      <c r="J30" t="inlineStr">
        <is>
          <t>CDS</t>
        </is>
      </c>
      <c r="K30" t="inlineStr">
        <is>
          <t>NUEVO / INICIAL</t>
        </is>
      </c>
      <c r="L30" t="inlineStr">
        <is>
          <t>C2</t>
        </is>
      </c>
      <c r="M30" t="inlineStr">
        <is>
          <t>Operacion Central</t>
        </is>
      </c>
      <c r="N30" t="inlineStr">
        <is>
          <t>Administrador CDS</t>
        </is>
      </c>
      <c r="O30" t="inlineStr">
        <is>
          <t>Recepción Almacén</t>
        </is>
      </c>
      <c r="P30" t="inlineStr">
        <is>
          <t>CARGUE-INICIAL-EXCEL</t>
        </is>
      </c>
    </row>
    <row r="31">
      <c r="A31" t="inlineStr">
        <is>
          <t>MOV-00028</t>
        </is>
      </c>
      <c r="B31" s="59" t="n">
        <v>46264</v>
      </c>
      <c r="C31" s="4" t="n">
        <v>0.3333333333333333</v>
      </c>
      <c r="D31" t="inlineStr">
        <is>
          <t>ENTRADA</t>
        </is>
      </c>
      <c r="E31" t="n">
        <v>7139</v>
      </c>
      <c r="F31" t="inlineStr">
        <is>
          <t>INTERRUPTOR TERMOMAGNETICO ENCHUFABLE MONOPOLAR 15A (10KA) LS</t>
        </is>
      </c>
      <c r="G31" t="n">
        <v>6</v>
      </c>
      <c r="H31" t="inlineStr">
        <is>
          <t>Unidad</t>
        </is>
      </c>
      <c r="I31" t="inlineStr">
        <is>
          <t>PROVEEDOR</t>
        </is>
      </c>
      <c r="J31" t="inlineStr">
        <is>
          <t>CDS</t>
        </is>
      </c>
      <c r="K31" t="inlineStr">
        <is>
          <t>NUEVO / INICIAL</t>
        </is>
      </c>
      <c r="L31" t="inlineStr">
        <is>
          <t>C2</t>
        </is>
      </c>
      <c r="M31" t="inlineStr">
        <is>
          <t>Operacion Central</t>
        </is>
      </c>
      <c r="N31" t="inlineStr">
        <is>
          <t>Administrador CDS</t>
        </is>
      </c>
      <c r="O31" t="inlineStr">
        <is>
          <t>Recepción Almacén</t>
        </is>
      </c>
      <c r="P31" t="inlineStr">
        <is>
          <t>CARGUE-INICIAL-EXCEL</t>
        </is>
      </c>
    </row>
    <row r="32">
      <c r="A32" t="inlineStr">
        <is>
          <t>MOV-00029</t>
        </is>
      </c>
      <c r="B32" s="59" t="n">
        <v>46264</v>
      </c>
      <c r="C32" s="4" t="n">
        <v>0.3333333333333333</v>
      </c>
      <c r="D32" t="inlineStr">
        <is>
          <t>ENTRADA</t>
        </is>
      </c>
      <c r="E32" t="n">
        <v>7147</v>
      </c>
      <c r="F32" t="inlineStr">
        <is>
          <t>INTERRUPTOR TERMOMAGNETICO ENCHUFABLE TRIPOLAR 20A (10KA) LS</t>
        </is>
      </c>
      <c r="G32" t="n">
        <v>1</v>
      </c>
      <c r="H32" t="inlineStr">
        <is>
          <t>Unidad</t>
        </is>
      </c>
      <c r="I32" t="inlineStr">
        <is>
          <t>PROVEEDOR</t>
        </is>
      </c>
      <c r="J32" t="inlineStr">
        <is>
          <t>CDS</t>
        </is>
      </c>
      <c r="K32" t="inlineStr">
        <is>
          <t>NUEVO / INICIAL</t>
        </is>
      </c>
      <c r="L32" t="inlineStr">
        <is>
          <t>C2</t>
        </is>
      </c>
      <c r="M32" t="inlineStr">
        <is>
          <t>Operacion Central</t>
        </is>
      </c>
      <c r="N32" t="inlineStr">
        <is>
          <t>Administrador CDS</t>
        </is>
      </c>
      <c r="O32" t="inlineStr">
        <is>
          <t>Recepción Almacén</t>
        </is>
      </c>
      <c r="P32" t="inlineStr">
        <is>
          <t>CARGUE-INICIAL-EXCEL</t>
        </is>
      </c>
    </row>
    <row r="33">
      <c r="A33" t="inlineStr">
        <is>
          <t>MOV-00030</t>
        </is>
      </c>
      <c r="B33" s="59" t="n">
        <v>46264</v>
      </c>
      <c r="C33" s="4" t="n">
        <v>0.3333333333333333</v>
      </c>
      <c r="D33" t="inlineStr">
        <is>
          <t>ENTRADA</t>
        </is>
      </c>
      <c r="E33" t="n">
        <v>7154</v>
      </c>
      <c r="F33" t="inlineStr">
        <is>
          <t>INTERRUPTOR TERMOMAGNETICO INDUSTRIAL BIPOLAR 100A (35KA) LS</t>
        </is>
      </c>
      <c r="G33" t="n">
        <v>1</v>
      </c>
      <c r="H33" t="inlineStr">
        <is>
          <t>Unidad</t>
        </is>
      </c>
      <c r="I33" t="inlineStr">
        <is>
          <t>PROVEEDOR</t>
        </is>
      </c>
      <c r="J33" t="inlineStr">
        <is>
          <t>CDS</t>
        </is>
      </c>
      <c r="K33" t="inlineStr">
        <is>
          <t>NUEVO / INICIAL</t>
        </is>
      </c>
      <c r="L33" t="inlineStr">
        <is>
          <t>C2</t>
        </is>
      </c>
      <c r="M33" t="inlineStr">
        <is>
          <t>Operacion Central</t>
        </is>
      </c>
      <c r="N33" t="inlineStr">
        <is>
          <t>Administrador CDS</t>
        </is>
      </c>
      <c r="O33" t="inlineStr">
        <is>
          <t>Recepción Almacén</t>
        </is>
      </c>
      <c r="P33" t="inlineStr">
        <is>
          <t>CARGUE-INICIAL-EXCEL</t>
        </is>
      </c>
    </row>
    <row r="34">
      <c r="A34" t="inlineStr">
        <is>
          <t>MOV-00031</t>
        </is>
      </c>
      <c r="B34" s="59" t="n">
        <v>46264</v>
      </c>
      <c r="C34" s="4" t="n">
        <v>0.3333333333333333</v>
      </c>
      <c r="D34" t="inlineStr">
        <is>
          <t>ENTRADA</t>
        </is>
      </c>
      <c r="E34" t="n">
        <v>7161</v>
      </c>
      <c r="F34" t="inlineStr">
        <is>
          <t>INTERRUPTOR TERMOMAGNETICO INDUSTRIAL BIPOLAR 30A (30KA) LS</t>
        </is>
      </c>
      <c r="G34" t="n">
        <v>1</v>
      </c>
      <c r="H34" t="inlineStr">
        <is>
          <t>Unidad</t>
        </is>
      </c>
      <c r="I34" t="inlineStr">
        <is>
          <t>PROVEEDOR</t>
        </is>
      </c>
      <c r="J34" t="inlineStr">
        <is>
          <t>CDS</t>
        </is>
      </c>
      <c r="K34" t="inlineStr">
        <is>
          <t>NUEVO / INICIAL</t>
        </is>
      </c>
      <c r="L34" t="inlineStr">
        <is>
          <t>C2</t>
        </is>
      </c>
      <c r="M34" t="inlineStr">
        <is>
          <t>Operacion Central</t>
        </is>
      </c>
      <c r="N34" t="inlineStr">
        <is>
          <t>Administrador CDS</t>
        </is>
      </c>
      <c r="O34" t="inlineStr">
        <is>
          <t>Recepción Almacén</t>
        </is>
      </c>
      <c r="P34" t="inlineStr">
        <is>
          <t>CARGUE-INICIAL-EXCEL</t>
        </is>
      </c>
    </row>
    <row r="35">
      <c r="A35" t="inlineStr">
        <is>
          <t>MOV-00032</t>
        </is>
      </c>
      <c r="B35" s="59" t="n">
        <v>46264</v>
      </c>
      <c r="C35" s="4" t="n">
        <v>0.3333333333333333</v>
      </c>
      <c r="D35" t="inlineStr">
        <is>
          <t>ENTRADA</t>
        </is>
      </c>
      <c r="E35" t="n">
        <v>7163</v>
      </c>
      <c r="F35" t="inlineStr">
        <is>
          <t>INTERRUPTOR TERMOMAGNETICO INDUSTRIAL BIPOLAR 40A (30KA) LS</t>
        </is>
      </c>
      <c r="G35" t="n">
        <v>4</v>
      </c>
      <c r="H35" t="inlineStr">
        <is>
          <t>Unidad</t>
        </is>
      </c>
      <c r="I35" t="inlineStr">
        <is>
          <t>PROVEEDOR</t>
        </is>
      </c>
      <c r="J35" t="inlineStr">
        <is>
          <t>CDS</t>
        </is>
      </c>
      <c r="K35" t="inlineStr">
        <is>
          <t>NUEVO / INICIAL</t>
        </is>
      </c>
      <c r="L35" t="inlineStr">
        <is>
          <t>C2</t>
        </is>
      </c>
      <c r="M35" t="inlineStr">
        <is>
          <t>Operacion Central</t>
        </is>
      </c>
      <c r="N35" t="inlineStr">
        <is>
          <t>Administrador CDS</t>
        </is>
      </c>
      <c r="O35" t="inlineStr">
        <is>
          <t>Recepción Almacén</t>
        </is>
      </c>
      <c r="P35" t="inlineStr">
        <is>
          <t>CARGUE-INICIAL-EXCEL</t>
        </is>
      </c>
    </row>
    <row r="36">
      <c r="A36" t="inlineStr">
        <is>
          <t>MOV-00033</t>
        </is>
      </c>
      <c r="B36" s="59" t="n">
        <v>46264</v>
      </c>
      <c r="C36" s="4" t="n">
        <v>0.3333333333333333</v>
      </c>
      <c r="D36" t="inlineStr">
        <is>
          <t>ENTRADA</t>
        </is>
      </c>
      <c r="E36" t="n">
        <v>7192</v>
      </c>
      <c r="F36" t="inlineStr">
        <is>
          <t>INTERRUPTOR TERMOMAGNETICO INDUSTRIAL TRIPOLAR 175A (65KA) LS</t>
        </is>
      </c>
      <c r="G36" t="n">
        <v>2</v>
      </c>
      <c r="H36" t="inlineStr">
        <is>
          <t>Unidad</t>
        </is>
      </c>
      <c r="I36" t="inlineStr">
        <is>
          <t>PROVEEDOR</t>
        </is>
      </c>
      <c r="J36" t="inlineStr">
        <is>
          <t>CDS</t>
        </is>
      </c>
      <c r="K36" t="inlineStr">
        <is>
          <t>NUEVO / INICIAL</t>
        </is>
      </c>
      <c r="L36" t="inlineStr">
        <is>
          <t>C2</t>
        </is>
      </c>
      <c r="M36" t="inlineStr">
        <is>
          <t>Operacion Central</t>
        </is>
      </c>
      <c r="N36" t="inlineStr">
        <is>
          <t>Administrador CDS</t>
        </is>
      </c>
      <c r="O36" t="inlineStr">
        <is>
          <t>Recepción Almacén</t>
        </is>
      </c>
      <c r="P36" t="inlineStr">
        <is>
          <t>CARGUE-INICIAL-EXCEL</t>
        </is>
      </c>
    </row>
    <row r="37">
      <c r="A37" t="inlineStr">
        <is>
          <t>MOV-00034</t>
        </is>
      </c>
      <c r="B37" s="59" t="n">
        <v>46264</v>
      </c>
      <c r="C37" s="4" t="n">
        <v>0.3333333333333333</v>
      </c>
      <c r="D37" t="inlineStr">
        <is>
          <t>ENTRADA</t>
        </is>
      </c>
      <c r="E37" t="n">
        <v>7194</v>
      </c>
      <c r="F37" t="inlineStr">
        <is>
          <t>INTERRUPTOR TERMOMAGNETICO INDUSTRIAL TRIPOLAR 200A (65KA) LS</t>
        </is>
      </c>
      <c r="G37" t="n">
        <v>2</v>
      </c>
      <c r="H37" t="inlineStr">
        <is>
          <t>Unidad</t>
        </is>
      </c>
      <c r="I37" t="inlineStr">
        <is>
          <t>PROVEEDOR</t>
        </is>
      </c>
      <c r="J37" t="inlineStr">
        <is>
          <t>CDS</t>
        </is>
      </c>
      <c r="K37" t="inlineStr">
        <is>
          <t>NUEVO / INICIAL</t>
        </is>
      </c>
      <c r="L37" t="inlineStr">
        <is>
          <t>C2</t>
        </is>
      </c>
      <c r="M37" t="inlineStr">
        <is>
          <t>Operacion Central</t>
        </is>
      </c>
      <c r="N37" t="inlineStr">
        <is>
          <t>Administrador CDS</t>
        </is>
      </c>
      <c r="O37" t="inlineStr">
        <is>
          <t>Recepción Almacén</t>
        </is>
      </c>
      <c r="P37" t="inlineStr">
        <is>
          <t>CARGUE-INICIAL-EXCEL</t>
        </is>
      </c>
    </row>
    <row r="38">
      <c r="A38" t="inlineStr">
        <is>
          <t>MOV-00035</t>
        </is>
      </c>
      <c r="B38" s="59" t="n">
        <v>46264</v>
      </c>
      <c r="C38" s="4" t="n">
        <v>0.3333333333333333</v>
      </c>
      <c r="D38" t="inlineStr">
        <is>
          <t>ENTRADA</t>
        </is>
      </c>
      <c r="E38" t="n">
        <v>7210</v>
      </c>
      <c r="F38" t="inlineStr">
        <is>
          <t>INTERRUPTOR TERMOMAGNETICO INDUSTRIAL TRIPOLAR 40A (30KA) LS</t>
        </is>
      </c>
      <c r="G38" t="n">
        <v>1</v>
      </c>
      <c r="H38" t="inlineStr">
        <is>
          <t>Unidad</t>
        </is>
      </c>
      <c r="I38" t="inlineStr">
        <is>
          <t>PROVEEDOR</t>
        </is>
      </c>
      <c r="J38" t="inlineStr">
        <is>
          <t>CDS</t>
        </is>
      </c>
      <c r="K38" t="inlineStr">
        <is>
          <t>NUEVO / INICIAL</t>
        </is>
      </c>
      <c r="L38" t="inlineStr">
        <is>
          <t>C2</t>
        </is>
      </c>
      <c r="M38" t="inlineStr">
        <is>
          <t>Operacion Central</t>
        </is>
      </c>
      <c r="N38" t="inlineStr">
        <is>
          <t>Administrador CDS</t>
        </is>
      </c>
      <c r="O38" t="inlineStr">
        <is>
          <t>Recepción Almacén</t>
        </is>
      </c>
      <c r="P38" t="inlineStr">
        <is>
          <t>CARGUE-INICIAL-EXCEL</t>
        </is>
      </c>
    </row>
    <row r="39">
      <c r="A39" t="inlineStr">
        <is>
          <t>MOV-00036</t>
        </is>
      </c>
      <c r="B39" s="59" t="n">
        <v>46264</v>
      </c>
      <c r="C39" s="4" t="n">
        <v>0.3333333333333333</v>
      </c>
      <c r="D39" t="inlineStr">
        <is>
          <t>ENTRADA</t>
        </is>
      </c>
      <c r="E39" t="n">
        <v>7233</v>
      </c>
      <c r="F39" t="inlineStr">
        <is>
          <t>INTERRUPTOR TERMOMAGNETICO PARA RIEL DIN BIPOLAR 20A (10KA) LS</t>
        </is>
      </c>
      <c r="G39" t="n">
        <v>34</v>
      </c>
      <c r="H39" t="inlineStr">
        <is>
          <t>Unidad</t>
        </is>
      </c>
      <c r="I39" t="inlineStr">
        <is>
          <t>PROVEEDOR</t>
        </is>
      </c>
      <c r="J39" t="inlineStr">
        <is>
          <t>CDS</t>
        </is>
      </c>
      <c r="K39" t="inlineStr">
        <is>
          <t>NUEVO / INICIAL</t>
        </is>
      </c>
      <c r="L39" t="inlineStr">
        <is>
          <t>C2</t>
        </is>
      </c>
      <c r="M39" t="inlineStr">
        <is>
          <t>Operacion Central</t>
        </is>
      </c>
      <c r="N39" t="inlineStr">
        <is>
          <t>Administrador CDS</t>
        </is>
      </c>
      <c r="O39" t="inlineStr">
        <is>
          <t>Recepción Almacén</t>
        </is>
      </c>
      <c r="P39" t="inlineStr">
        <is>
          <t>CARGUE-INICIAL-EXCEL</t>
        </is>
      </c>
    </row>
    <row r="40">
      <c r="A40" t="inlineStr">
        <is>
          <t>MOV-00037</t>
        </is>
      </c>
      <c r="B40" s="59" t="n">
        <v>46264</v>
      </c>
      <c r="C40" s="4" t="n">
        <v>0.3333333333333333</v>
      </c>
      <c r="D40" t="inlineStr">
        <is>
          <t>ENTRADA</t>
        </is>
      </c>
      <c r="E40" t="n">
        <v>7234</v>
      </c>
      <c r="F40" t="inlineStr">
        <is>
          <t>INTERRUPTOR TERMOMAGNETICO PARA RIEL DIN BIPOLAR 25A (10KA) LS</t>
        </is>
      </c>
      <c r="G40" t="n">
        <v>19</v>
      </c>
      <c r="H40" t="inlineStr">
        <is>
          <t>Unidad</t>
        </is>
      </c>
      <c r="I40" t="inlineStr">
        <is>
          <t>PROVEEDOR</t>
        </is>
      </c>
      <c r="J40" t="inlineStr">
        <is>
          <t>CDS</t>
        </is>
      </c>
      <c r="K40" t="inlineStr">
        <is>
          <t>NUEVO / INICIAL</t>
        </is>
      </c>
      <c r="L40" t="inlineStr">
        <is>
          <t>C2</t>
        </is>
      </c>
      <c r="M40" t="inlineStr">
        <is>
          <t>Operacion Central</t>
        </is>
      </c>
      <c r="N40" t="inlineStr">
        <is>
          <t>Administrador CDS</t>
        </is>
      </c>
      <c r="O40" t="inlineStr">
        <is>
          <t>Recepción Almacén</t>
        </is>
      </c>
      <c r="P40" t="inlineStr">
        <is>
          <t>CARGUE-INICIAL-EXCEL</t>
        </is>
      </c>
    </row>
    <row r="41">
      <c r="A41" t="inlineStr">
        <is>
          <t>MOV-00038</t>
        </is>
      </c>
      <c r="B41" s="59" t="n">
        <v>46264</v>
      </c>
      <c r="C41" s="4" t="n">
        <v>0.3333333333333333</v>
      </c>
      <c r="D41" t="inlineStr">
        <is>
          <t>ENTRADA</t>
        </is>
      </c>
      <c r="E41" t="n">
        <v>7236</v>
      </c>
      <c r="F41" t="inlineStr">
        <is>
          <t>INTERRUPTOR TERMOMAGNETICO PARA RIEL DIN BIPOLAR 32A (10KA) LS</t>
        </is>
      </c>
      <c r="G41" t="n">
        <v>2</v>
      </c>
      <c r="H41" t="inlineStr">
        <is>
          <t>Unidad</t>
        </is>
      </c>
      <c r="I41" t="inlineStr">
        <is>
          <t>PROVEEDOR</t>
        </is>
      </c>
      <c r="J41" t="inlineStr">
        <is>
          <t>CDS</t>
        </is>
      </c>
      <c r="K41" t="inlineStr">
        <is>
          <t>NUEVO / INICIAL</t>
        </is>
      </c>
      <c r="L41" t="inlineStr">
        <is>
          <t>C2</t>
        </is>
      </c>
      <c r="M41" t="inlineStr">
        <is>
          <t>Operacion Central</t>
        </is>
      </c>
      <c r="N41" t="inlineStr">
        <is>
          <t>Administrador CDS</t>
        </is>
      </c>
      <c r="O41" t="inlineStr">
        <is>
          <t>Recepción Almacén</t>
        </is>
      </c>
      <c r="P41" t="inlineStr">
        <is>
          <t>CARGUE-INICIAL-EXCEL</t>
        </is>
      </c>
    </row>
    <row r="42">
      <c r="A42" t="inlineStr">
        <is>
          <t>MOV-00039</t>
        </is>
      </c>
      <c r="B42" s="59" t="n">
        <v>46264</v>
      </c>
      <c r="C42" s="4" t="n">
        <v>0.3333333333333333</v>
      </c>
      <c r="D42" t="inlineStr">
        <is>
          <t>ENTRADA</t>
        </is>
      </c>
      <c r="E42" t="n">
        <v>7238</v>
      </c>
      <c r="F42" t="inlineStr">
        <is>
          <t>INTERRUPTOR TERMOMAGNETICO PARA RIEL DIN BIPOLAR 40A (10KA) LS</t>
        </is>
      </c>
      <c r="G42" t="n">
        <v>5</v>
      </c>
      <c r="H42" t="inlineStr">
        <is>
          <t>Unidad</t>
        </is>
      </c>
      <c r="I42" t="inlineStr">
        <is>
          <t>PROVEEDOR</t>
        </is>
      </c>
      <c r="J42" t="inlineStr">
        <is>
          <t>CDS</t>
        </is>
      </c>
      <c r="K42" t="inlineStr">
        <is>
          <t>NUEVO / INICIAL</t>
        </is>
      </c>
      <c r="L42" t="inlineStr">
        <is>
          <t>C2</t>
        </is>
      </c>
      <c r="M42" t="inlineStr">
        <is>
          <t>Operacion Central</t>
        </is>
      </c>
      <c r="N42" t="inlineStr">
        <is>
          <t>Administrador CDS</t>
        </is>
      </c>
      <c r="O42" t="inlineStr">
        <is>
          <t>Recepción Almacén</t>
        </is>
      </c>
      <c r="P42" t="inlineStr">
        <is>
          <t>CARGUE-INICIAL-EXCEL</t>
        </is>
      </c>
    </row>
    <row r="43">
      <c r="A43" t="inlineStr">
        <is>
          <t>MOV-00040</t>
        </is>
      </c>
      <c r="B43" s="59" t="n">
        <v>46264</v>
      </c>
      <c r="C43" s="4" t="n">
        <v>0.3333333333333333</v>
      </c>
      <c r="D43" t="inlineStr">
        <is>
          <t>ENTRADA</t>
        </is>
      </c>
      <c r="E43" t="n">
        <v>7241</v>
      </c>
      <c r="F43" t="inlineStr">
        <is>
          <t>INTERRUPTOR TERMOMAGNETICO PARA RIEL DIN BIPOLAR 50A (10KA) LS</t>
        </is>
      </c>
      <c r="G43" t="n">
        <v>2</v>
      </c>
      <c r="H43" t="inlineStr">
        <is>
          <t>Unidad</t>
        </is>
      </c>
      <c r="I43" t="inlineStr">
        <is>
          <t>PROVEEDOR</t>
        </is>
      </c>
      <c r="J43" t="inlineStr">
        <is>
          <t>CDS</t>
        </is>
      </c>
      <c r="K43" t="inlineStr">
        <is>
          <t>NUEVO / INICIAL</t>
        </is>
      </c>
      <c r="L43" t="inlineStr">
        <is>
          <t>C2</t>
        </is>
      </c>
      <c r="M43" t="inlineStr">
        <is>
          <t>Operacion Central</t>
        </is>
      </c>
      <c r="N43" t="inlineStr">
        <is>
          <t>Administrador CDS</t>
        </is>
      </c>
      <c r="O43" t="inlineStr">
        <is>
          <t>Recepción Almacén</t>
        </is>
      </c>
      <c r="P43" t="inlineStr">
        <is>
          <t>CARGUE-INICIAL-EXCEL</t>
        </is>
      </c>
    </row>
    <row r="44">
      <c r="A44" t="inlineStr">
        <is>
          <t>MOV-00041</t>
        </is>
      </c>
      <c r="B44" s="59" t="n">
        <v>46264</v>
      </c>
      <c r="C44" s="4" t="n">
        <v>0.3333333333333333</v>
      </c>
      <c r="D44" t="inlineStr">
        <is>
          <t>ENTRADA</t>
        </is>
      </c>
      <c r="E44" t="n">
        <v>7242</v>
      </c>
      <c r="F44" t="inlineStr">
        <is>
          <t>INTERRUPTOR TERMOMAGNETICO PARA RIEL DIN BIPOLAR 63A (10KA) LS</t>
        </is>
      </c>
      <c r="G44" t="n">
        <v>1</v>
      </c>
      <c r="H44" t="inlineStr">
        <is>
          <t>Unidad</t>
        </is>
      </c>
      <c r="I44" t="inlineStr">
        <is>
          <t>PROVEEDOR</t>
        </is>
      </c>
      <c r="J44" t="inlineStr">
        <is>
          <t>CDS</t>
        </is>
      </c>
      <c r="K44" t="inlineStr">
        <is>
          <t>NUEVO / INICIAL</t>
        </is>
      </c>
      <c r="L44" t="inlineStr">
        <is>
          <t>C2</t>
        </is>
      </c>
      <c r="M44" t="inlineStr">
        <is>
          <t>Operacion Central</t>
        </is>
      </c>
      <c r="N44" t="inlineStr">
        <is>
          <t>Administrador CDS</t>
        </is>
      </c>
      <c r="O44" t="inlineStr">
        <is>
          <t>Recepción Almacén</t>
        </is>
      </c>
      <c r="P44" t="inlineStr">
        <is>
          <t>CARGUE-INICIAL-EXCEL</t>
        </is>
      </c>
    </row>
    <row r="45">
      <c r="A45" t="inlineStr">
        <is>
          <t>MOV-00042</t>
        </is>
      </c>
      <c r="B45" s="59" t="n">
        <v>46264</v>
      </c>
      <c r="C45" s="4" t="n">
        <v>0.3333333333333333</v>
      </c>
      <c r="D45" t="inlineStr">
        <is>
          <t>ENTRADA</t>
        </is>
      </c>
      <c r="E45" t="n">
        <v>7247</v>
      </c>
      <c r="F45" t="inlineStr">
        <is>
          <t>INTERRUPTOR TERMOMAGNETICO PARA RIEL DIN MONOPOLAR 20A (10KA) LS</t>
        </is>
      </c>
      <c r="G45" t="n">
        <v>1</v>
      </c>
      <c r="H45" t="inlineStr">
        <is>
          <t>Unidad</t>
        </is>
      </c>
      <c r="I45" t="inlineStr">
        <is>
          <t>PROVEEDOR</t>
        </is>
      </c>
      <c r="J45" t="inlineStr">
        <is>
          <t>CDS</t>
        </is>
      </c>
      <c r="K45" t="inlineStr">
        <is>
          <t>NUEVO / INICIAL</t>
        </is>
      </c>
      <c r="L45" t="inlineStr">
        <is>
          <t>C2</t>
        </is>
      </c>
      <c r="M45" t="inlineStr">
        <is>
          <t>Operacion Central</t>
        </is>
      </c>
      <c r="N45" t="inlineStr">
        <is>
          <t>Administrador CDS</t>
        </is>
      </c>
      <c r="O45" t="inlineStr">
        <is>
          <t>Recepción Almacén</t>
        </is>
      </c>
      <c r="P45" t="inlineStr">
        <is>
          <t>CARGUE-INICIAL-EXCEL</t>
        </is>
      </c>
    </row>
    <row r="46">
      <c r="A46" t="inlineStr">
        <is>
          <t>MOV-00043</t>
        </is>
      </c>
      <c r="B46" s="59" t="n">
        <v>46264</v>
      </c>
      <c r="C46" s="4" t="n">
        <v>0.3333333333333333</v>
      </c>
      <c r="D46" t="inlineStr">
        <is>
          <t>ENTRADA</t>
        </is>
      </c>
      <c r="E46" t="n">
        <v>7259</v>
      </c>
      <c r="F46" t="inlineStr">
        <is>
          <t>INTERRUPTOR TERMOMAGNETICO PARA RIEL DIN TRIPOLAR 16A (10KA) LS</t>
        </is>
      </c>
      <c r="G46" t="n">
        <v>1</v>
      </c>
      <c r="H46" t="inlineStr">
        <is>
          <t>Unidad</t>
        </is>
      </c>
      <c r="I46" t="inlineStr">
        <is>
          <t>PROVEEDOR</t>
        </is>
      </c>
      <c r="J46" t="inlineStr">
        <is>
          <t>CDS</t>
        </is>
      </c>
      <c r="K46" t="inlineStr">
        <is>
          <t>NUEVO / INICIAL</t>
        </is>
      </c>
      <c r="L46" t="inlineStr">
        <is>
          <t>C2</t>
        </is>
      </c>
      <c r="M46" t="inlineStr">
        <is>
          <t>Operacion Central</t>
        </is>
      </c>
      <c r="N46" t="inlineStr">
        <is>
          <t>Administrador CDS</t>
        </is>
      </c>
      <c r="O46" t="inlineStr">
        <is>
          <t>Recepción Almacén</t>
        </is>
      </c>
      <c r="P46" t="inlineStr">
        <is>
          <t>CARGUE-INICIAL-EXCEL</t>
        </is>
      </c>
    </row>
    <row r="47">
      <c r="A47" t="inlineStr">
        <is>
          <t>MOV-00044</t>
        </is>
      </c>
      <c r="B47" s="59" t="n">
        <v>46264</v>
      </c>
      <c r="C47" s="4" t="n">
        <v>0.3333333333333333</v>
      </c>
      <c r="D47" t="inlineStr">
        <is>
          <t>ENTRADA</t>
        </is>
      </c>
      <c r="E47" t="n">
        <v>7261</v>
      </c>
      <c r="F47" t="inlineStr">
        <is>
          <t>INTERRUPTOR TERMOMAGNETICO PARA RIEL DIN TRIPOLAR 20A (10KA) LS</t>
        </is>
      </c>
      <c r="G47" t="n">
        <v>1</v>
      </c>
      <c r="H47" t="inlineStr">
        <is>
          <t>Unidad</t>
        </is>
      </c>
      <c r="I47" t="inlineStr">
        <is>
          <t>PROVEEDOR</t>
        </is>
      </c>
      <c r="J47" t="inlineStr">
        <is>
          <t>CDS</t>
        </is>
      </c>
      <c r="K47" t="inlineStr">
        <is>
          <t>NUEVO / INICIAL</t>
        </is>
      </c>
      <c r="L47" t="inlineStr">
        <is>
          <t>C2</t>
        </is>
      </c>
      <c r="M47" t="inlineStr">
        <is>
          <t>Operacion Central</t>
        </is>
      </c>
      <c r="N47" t="inlineStr">
        <is>
          <t>Administrador CDS</t>
        </is>
      </c>
      <c r="O47" t="inlineStr">
        <is>
          <t>Recepción Almacén</t>
        </is>
      </c>
      <c r="P47" t="inlineStr">
        <is>
          <t>CARGUE-INICIAL-EXCEL</t>
        </is>
      </c>
    </row>
    <row r="48">
      <c r="A48" t="inlineStr">
        <is>
          <t>MOV-00045</t>
        </is>
      </c>
      <c r="B48" s="59" t="n">
        <v>46264</v>
      </c>
      <c r="C48" s="4" t="n">
        <v>0.3333333333333333</v>
      </c>
      <c r="D48" t="inlineStr">
        <is>
          <t>ENTRADA</t>
        </is>
      </c>
      <c r="E48" t="n">
        <v>7262</v>
      </c>
      <c r="F48" t="inlineStr">
        <is>
          <t>INTERRUPTOR TERMOMAGNETICO PARA RIEL DIN TRIPOLAR 25A (10KA) LS</t>
        </is>
      </c>
      <c r="G48" t="n">
        <v>2</v>
      </c>
      <c r="H48" t="inlineStr">
        <is>
          <t>Unidad</t>
        </is>
      </c>
      <c r="I48" t="inlineStr">
        <is>
          <t>PROVEEDOR</t>
        </is>
      </c>
      <c r="J48" t="inlineStr">
        <is>
          <t>CDS</t>
        </is>
      </c>
      <c r="K48" t="inlineStr">
        <is>
          <t>NUEVO / INICIAL</t>
        </is>
      </c>
      <c r="L48" t="inlineStr">
        <is>
          <t>C2</t>
        </is>
      </c>
      <c r="M48" t="inlineStr">
        <is>
          <t>Operacion Central</t>
        </is>
      </c>
      <c r="N48" t="inlineStr">
        <is>
          <t>Administrador CDS</t>
        </is>
      </c>
      <c r="O48" t="inlineStr">
        <is>
          <t>Recepción Almacén</t>
        </is>
      </c>
      <c r="P48" t="inlineStr">
        <is>
          <t>CARGUE-INICIAL-EXCEL</t>
        </is>
      </c>
    </row>
    <row r="49">
      <c r="A49" t="inlineStr">
        <is>
          <t>MOV-00046</t>
        </is>
      </c>
      <c r="B49" s="59" t="n">
        <v>46264</v>
      </c>
      <c r="C49" s="4" t="n">
        <v>0.3333333333333333</v>
      </c>
      <c r="D49" t="inlineStr">
        <is>
          <t>ENTRADA</t>
        </is>
      </c>
      <c r="E49" t="n">
        <v>7264</v>
      </c>
      <c r="F49" t="inlineStr">
        <is>
          <t>INTERRUPTOR TERMOMAGNETICO PARA RIEL DIN TRIPOLAR 32A (10KA) LS</t>
        </is>
      </c>
      <c r="G49" t="n">
        <v>4</v>
      </c>
      <c r="H49" t="inlineStr">
        <is>
          <t>Unidad</t>
        </is>
      </c>
      <c r="I49" t="inlineStr">
        <is>
          <t>PROVEEDOR</t>
        </is>
      </c>
      <c r="J49" t="inlineStr">
        <is>
          <t>CDS</t>
        </is>
      </c>
      <c r="K49" t="inlineStr">
        <is>
          <t>NUEVO / INICIAL</t>
        </is>
      </c>
      <c r="L49" t="inlineStr">
        <is>
          <t>C2</t>
        </is>
      </c>
      <c r="M49" t="inlineStr">
        <is>
          <t>Operacion Central</t>
        </is>
      </c>
      <c r="N49" t="inlineStr">
        <is>
          <t>Administrador CDS</t>
        </is>
      </c>
      <c r="O49" t="inlineStr">
        <is>
          <t>Recepción Almacén</t>
        </is>
      </c>
      <c r="P49" t="inlineStr">
        <is>
          <t>CARGUE-INICIAL-EXCEL</t>
        </is>
      </c>
    </row>
    <row r="50">
      <c r="A50" t="inlineStr">
        <is>
          <t>MOV-00047</t>
        </is>
      </c>
      <c r="B50" s="59" t="n">
        <v>46264</v>
      </c>
      <c r="C50" s="4" t="n">
        <v>0.3333333333333333</v>
      </c>
      <c r="D50" t="inlineStr">
        <is>
          <t>ENTRADA</t>
        </is>
      </c>
      <c r="E50" t="n">
        <v>7269</v>
      </c>
      <c r="F50" t="inlineStr">
        <is>
          <t>INTERRUPTOR TERMOMAGNETICO PARA RIEL DIN TRIPOLAR 63A (10KA) LS</t>
        </is>
      </c>
      <c r="G50" t="n">
        <v>2</v>
      </c>
      <c r="H50" t="inlineStr">
        <is>
          <t>Unidad</t>
        </is>
      </c>
      <c r="I50" t="inlineStr">
        <is>
          <t>PROVEEDOR</t>
        </is>
      </c>
      <c r="J50" t="inlineStr">
        <is>
          <t>CDS</t>
        </is>
      </c>
      <c r="K50" t="inlineStr">
        <is>
          <t>NUEVO / INICIAL</t>
        </is>
      </c>
      <c r="L50" t="inlineStr">
        <is>
          <t>C2</t>
        </is>
      </c>
      <c r="M50" t="inlineStr">
        <is>
          <t>Operacion Central</t>
        </is>
      </c>
      <c r="N50" t="inlineStr">
        <is>
          <t>Administrador CDS</t>
        </is>
      </c>
      <c r="O50" t="inlineStr">
        <is>
          <t>Recepción Almacén</t>
        </is>
      </c>
      <c r="P50" t="inlineStr">
        <is>
          <t>CARGUE-INICIAL-EXCEL</t>
        </is>
      </c>
    </row>
    <row r="51">
      <c r="A51" t="inlineStr">
        <is>
          <t>MOV-00048</t>
        </is>
      </c>
      <c r="B51" s="59" t="n">
        <v>46264</v>
      </c>
      <c r="C51" s="4" t="n">
        <v>0.3333333333333333</v>
      </c>
      <c r="D51" t="inlineStr">
        <is>
          <t>ENTRADA</t>
        </is>
      </c>
      <c r="E51" t="n">
        <v>7495</v>
      </c>
      <c r="F51" t="inlineStr">
        <is>
          <t>AEROSOL ANTICORROSIVO GALVANIZADO 20 OZ RUST OLEUM</t>
        </is>
      </c>
      <c r="G51" t="n">
        <v>23</v>
      </c>
      <c r="H51" t="inlineStr">
        <is>
          <t>Unidad</t>
        </is>
      </c>
      <c r="I51" t="inlineStr">
        <is>
          <t>PROVEEDOR</t>
        </is>
      </c>
      <c r="J51" t="inlineStr">
        <is>
          <t>CDS</t>
        </is>
      </c>
      <c r="K51" t="inlineStr">
        <is>
          <t>NUEVO / INICIAL</t>
        </is>
      </c>
      <c r="L51" t="inlineStr">
        <is>
          <t>A2</t>
        </is>
      </c>
      <c r="M51" t="inlineStr">
        <is>
          <t>Operacion Central</t>
        </is>
      </c>
      <c r="N51" t="inlineStr">
        <is>
          <t>Administrador CDS</t>
        </is>
      </c>
      <c r="O51" t="inlineStr">
        <is>
          <t>Recepción Almacén</t>
        </is>
      </c>
      <c r="P51" t="inlineStr">
        <is>
          <t>CARGUE-INICIAL-EXCEL</t>
        </is>
      </c>
    </row>
    <row r="52">
      <c r="A52" t="inlineStr">
        <is>
          <t>MOV-00049</t>
        </is>
      </c>
      <c r="B52" s="59" t="n">
        <v>46264</v>
      </c>
      <c r="C52" s="4" t="n">
        <v>0.3333333333333333</v>
      </c>
      <c r="D52" t="inlineStr">
        <is>
          <t>ENTRADA</t>
        </is>
      </c>
      <c r="E52" t="n">
        <v>7497</v>
      </c>
      <c r="F52" t="inlineStr">
        <is>
          <t>AEROSOL AZUL 12 OZ RUST OLEUM</t>
        </is>
      </c>
      <c r="G52" t="n">
        <v>14</v>
      </c>
      <c r="H52" t="inlineStr">
        <is>
          <t>Unidad</t>
        </is>
      </c>
      <c r="I52" t="inlineStr">
        <is>
          <t>PROVEEDOR</t>
        </is>
      </c>
      <c r="J52" t="inlineStr">
        <is>
          <t>CDS</t>
        </is>
      </c>
      <c r="K52" t="inlineStr">
        <is>
          <t>NUEVO / INICIAL</t>
        </is>
      </c>
      <c r="L52" t="inlineStr">
        <is>
          <t>A2</t>
        </is>
      </c>
      <c r="M52" t="inlineStr">
        <is>
          <t>Operacion Central</t>
        </is>
      </c>
      <c r="N52" t="inlineStr">
        <is>
          <t>Administrador CDS</t>
        </is>
      </c>
      <c r="O52" t="inlineStr">
        <is>
          <t>Recepción Almacén</t>
        </is>
      </c>
      <c r="P52" t="inlineStr">
        <is>
          <t>CARGUE-INICIAL-EXCEL</t>
        </is>
      </c>
    </row>
    <row r="53">
      <c r="A53" t="inlineStr">
        <is>
          <t>MOV-00050</t>
        </is>
      </c>
      <c r="B53" s="59" t="n">
        <v>46264</v>
      </c>
      <c r="C53" s="4" t="n">
        <v>0.3333333333333333</v>
      </c>
      <c r="D53" t="inlineStr">
        <is>
          <t>ENTRADA</t>
        </is>
      </c>
      <c r="E53" t="n">
        <v>7498</v>
      </c>
      <c r="F53" t="inlineStr">
        <is>
          <t>AEROSOL DESENGRASANTE 500ML WEICON</t>
        </is>
      </c>
      <c r="G53" t="n">
        <v>29</v>
      </c>
      <c r="H53" t="inlineStr">
        <is>
          <t>Unidad</t>
        </is>
      </c>
      <c r="I53" t="inlineStr">
        <is>
          <t>PROVEEDOR</t>
        </is>
      </c>
      <c r="J53" t="inlineStr">
        <is>
          <t>CDS</t>
        </is>
      </c>
      <c r="K53" t="inlineStr">
        <is>
          <t>NUEVO / INICIAL</t>
        </is>
      </c>
      <c r="L53" t="inlineStr">
        <is>
          <t>A2</t>
        </is>
      </c>
      <c r="M53" t="inlineStr">
        <is>
          <t>Operacion Central</t>
        </is>
      </c>
      <c r="N53" t="inlineStr">
        <is>
          <t>Administrador CDS</t>
        </is>
      </c>
      <c r="O53" t="inlineStr">
        <is>
          <t>Recepción Almacén</t>
        </is>
      </c>
      <c r="P53" t="inlineStr">
        <is>
          <t>CARGUE-INICIAL-EXCEL</t>
        </is>
      </c>
    </row>
    <row r="54">
      <c r="A54" t="inlineStr">
        <is>
          <t>MOV-00051</t>
        </is>
      </c>
      <c r="B54" s="59" t="n">
        <v>46264</v>
      </c>
      <c r="C54" s="4" t="n">
        <v>0.3333333333333333</v>
      </c>
      <c r="D54" t="inlineStr">
        <is>
          <t>ENTRADA</t>
        </is>
      </c>
      <c r="E54" t="n">
        <v>7500</v>
      </c>
      <c r="F54" t="inlineStr">
        <is>
          <t>ESPUMA EXPANSIVA SIKA</t>
        </is>
      </c>
      <c r="G54" t="n">
        <v>19</v>
      </c>
      <c r="H54" t="inlineStr">
        <is>
          <t>Unidad</t>
        </is>
      </c>
      <c r="I54" t="inlineStr">
        <is>
          <t>PROVEEDOR</t>
        </is>
      </c>
      <c r="J54" t="inlineStr">
        <is>
          <t>CDS</t>
        </is>
      </c>
      <c r="K54" t="inlineStr">
        <is>
          <t>NUEVO / INICIAL</t>
        </is>
      </c>
      <c r="L54" t="inlineStr">
        <is>
          <t>A2</t>
        </is>
      </c>
      <c r="M54" t="inlineStr">
        <is>
          <t>Operacion Central</t>
        </is>
      </c>
      <c r="N54" t="inlineStr">
        <is>
          <t>Administrador CDS</t>
        </is>
      </c>
      <c r="O54" t="inlineStr">
        <is>
          <t>Recepción Almacén</t>
        </is>
      </c>
      <c r="P54" t="inlineStr">
        <is>
          <t>CARGUE-INICIAL-EXCEL</t>
        </is>
      </c>
    </row>
    <row r="55">
      <c r="A55" t="inlineStr">
        <is>
          <t>MOV-00052</t>
        </is>
      </c>
      <c r="B55" s="59" t="n">
        <v>46264</v>
      </c>
      <c r="C55" s="4" t="n">
        <v>0.3333333333333333</v>
      </c>
      <c r="D55" t="inlineStr">
        <is>
          <t>ENTRADA</t>
        </is>
      </c>
      <c r="E55" t="n">
        <v>7508</v>
      </c>
      <c r="F55" t="inlineStr">
        <is>
          <t>SELLANTE ADHESIVO WEICON</t>
        </is>
      </c>
      <c r="G55" t="n">
        <v>78</v>
      </c>
      <c r="H55" t="inlineStr">
        <is>
          <t>Unidad</t>
        </is>
      </c>
      <c r="I55" t="inlineStr">
        <is>
          <t>PROVEEDOR</t>
        </is>
      </c>
      <c r="J55" t="inlineStr">
        <is>
          <t>CDS</t>
        </is>
      </c>
      <c r="K55" t="inlineStr">
        <is>
          <t>NUEVO / INICIAL</t>
        </is>
      </c>
      <c r="L55" t="inlineStr">
        <is>
          <t>A2</t>
        </is>
      </c>
      <c r="M55" t="inlineStr">
        <is>
          <t>Operacion Central</t>
        </is>
      </c>
      <c r="N55" t="inlineStr">
        <is>
          <t>Administrador CDS</t>
        </is>
      </c>
      <c r="O55" t="inlineStr">
        <is>
          <t>Recepción Almacén</t>
        </is>
      </c>
      <c r="P55" t="inlineStr">
        <is>
          <t>CARGUE-INICIAL-EXCEL</t>
        </is>
      </c>
    </row>
    <row r="56">
      <c r="A56" t="inlineStr">
        <is>
          <t>MOV-00053</t>
        </is>
      </c>
      <c r="B56" s="59" t="n">
        <v>46264</v>
      </c>
      <c r="C56" s="4" t="n">
        <v>0.3333333333333333</v>
      </c>
      <c r="D56" t="inlineStr">
        <is>
          <t>ENTRADA</t>
        </is>
      </c>
      <c r="E56" t="n">
        <v>7535</v>
      </c>
      <c r="F56" t="inlineStr">
        <is>
          <t>ABRAZADERA AJUSTABLE (UNISTRUT) GALVANIZADA CALIENTE 1 1/2"</t>
        </is>
      </c>
      <c r="G56" t="n">
        <v>9</v>
      </c>
      <c r="H56" t="inlineStr">
        <is>
          <t>Unidad</t>
        </is>
      </c>
      <c r="I56" t="inlineStr">
        <is>
          <t>PROVEEDOR</t>
        </is>
      </c>
      <c r="J56" t="inlineStr">
        <is>
          <t>CDS</t>
        </is>
      </c>
      <c r="K56" t="inlineStr">
        <is>
          <t>NUEVO / INICIAL</t>
        </is>
      </c>
      <c r="L56" t="inlineStr">
        <is>
          <t>A3</t>
        </is>
      </c>
      <c r="M56" t="inlineStr">
        <is>
          <t>Operacion Central</t>
        </is>
      </c>
      <c r="N56" t="inlineStr">
        <is>
          <t>Administrador CDS</t>
        </is>
      </c>
      <c r="O56" t="inlineStr">
        <is>
          <t>Recepción Almacén</t>
        </is>
      </c>
      <c r="P56" t="inlineStr">
        <is>
          <t>CARGUE-INICIAL-EXCEL</t>
        </is>
      </c>
    </row>
    <row r="57">
      <c r="A57" t="inlineStr">
        <is>
          <t>MOV-00054</t>
        </is>
      </c>
      <c r="B57" s="59" t="n">
        <v>46264</v>
      </c>
      <c r="C57" s="4" t="n">
        <v>0.3333333333333333</v>
      </c>
      <c r="D57" t="inlineStr">
        <is>
          <t>ENTRADA</t>
        </is>
      </c>
      <c r="E57" t="n">
        <v>7537</v>
      </c>
      <c r="F57" t="inlineStr">
        <is>
          <t>ABRAZADERA AJUSTABLE (UNISTRUT) GALVANIZADA CALIENTE 1"</t>
        </is>
      </c>
      <c r="G57" t="n">
        <v>2</v>
      </c>
      <c r="H57" t="inlineStr">
        <is>
          <t>Unidad</t>
        </is>
      </c>
      <c r="I57" t="inlineStr">
        <is>
          <t>PROVEEDOR</t>
        </is>
      </c>
      <c r="J57" t="inlineStr">
        <is>
          <t>CDS</t>
        </is>
      </c>
      <c r="K57" t="inlineStr">
        <is>
          <t>NUEVO / INICIAL</t>
        </is>
      </c>
      <c r="L57" t="inlineStr">
        <is>
          <t>A3</t>
        </is>
      </c>
      <c r="M57" t="inlineStr">
        <is>
          <t>Operacion Central</t>
        </is>
      </c>
      <c r="N57" t="inlineStr">
        <is>
          <t>Administrador CDS</t>
        </is>
      </c>
      <c r="O57" t="inlineStr">
        <is>
          <t>Recepción Almacén</t>
        </is>
      </c>
      <c r="P57" t="inlineStr">
        <is>
          <t>CARGUE-INICIAL-EXCEL</t>
        </is>
      </c>
    </row>
    <row r="58">
      <c r="A58" t="inlineStr">
        <is>
          <t>MOV-00055</t>
        </is>
      </c>
      <c r="B58" s="59" t="n">
        <v>46264</v>
      </c>
      <c r="C58" s="4" t="n">
        <v>0.3333333333333333</v>
      </c>
      <c r="D58" t="inlineStr">
        <is>
          <t>ENTRADA</t>
        </is>
      </c>
      <c r="E58" t="n">
        <v>7540</v>
      </c>
      <c r="F58" t="inlineStr">
        <is>
          <t>ABRAZADERA AJUSTABLE (UNISTRUT) GALVANIZADA CALIENTE 2"</t>
        </is>
      </c>
      <c r="G58" t="n">
        <v>7</v>
      </c>
      <c r="H58" t="inlineStr">
        <is>
          <t>Unidad</t>
        </is>
      </c>
      <c r="I58" t="inlineStr">
        <is>
          <t>PROVEEDOR</t>
        </is>
      </c>
      <c r="J58" t="inlineStr">
        <is>
          <t>CDS</t>
        </is>
      </c>
      <c r="K58" t="inlineStr">
        <is>
          <t>NUEVO / INICIAL</t>
        </is>
      </c>
      <c r="L58" t="inlineStr">
        <is>
          <t>A3</t>
        </is>
      </c>
      <c r="M58" t="inlineStr">
        <is>
          <t>Operacion Central</t>
        </is>
      </c>
      <c r="N58" t="inlineStr">
        <is>
          <t>Administrador CDS</t>
        </is>
      </c>
      <c r="O58" t="inlineStr">
        <is>
          <t>Recepción Almacén</t>
        </is>
      </c>
      <c r="P58" t="inlineStr">
        <is>
          <t>CARGUE-INICIAL-EXCEL</t>
        </is>
      </c>
    </row>
    <row r="59">
      <c r="A59" t="inlineStr">
        <is>
          <t>MOV-00056</t>
        </is>
      </c>
      <c r="B59" s="59" t="n">
        <v>46264</v>
      </c>
      <c r="C59" s="4" t="n">
        <v>0.3333333333333333</v>
      </c>
      <c r="D59" t="inlineStr">
        <is>
          <t>ENTRADA</t>
        </is>
      </c>
      <c r="E59" t="n">
        <v>7541</v>
      </c>
      <c r="F59" t="inlineStr">
        <is>
          <t>ABRAZADERA AJUSTABLE (UNISTRUT) GALVANIZADA CALIENTE 3/4"</t>
        </is>
      </c>
      <c r="G59" t="n">
        <v>3</v>
      </c>
      <c r="H59" t="inlineStr">
        <is>
          <t>Unidad</t>
        </is>
      </c>
      <c r="I59" t="inlineStr">
        <is>
          <t>PROVEEDOR</t>
        </is>
      </c>
      <c r="J59" t="inlineStr">
        <is>
          <t>CDS</t>
        </is>
      </c>
      <c r="K59" t="inlineStr">
        <is>
          <t>NUEVO / INICIAL</t>
        </is>
      </c>
      <c r="L59" t="inlineStr">
        <is>
          <t>A3</t>
        </is>
      </c>
      <c r="M59" t="inlineStr">
        <is>
          <t>Operacion Central</t>
        </is>
      </c>
      <c r="N59" t="inlineStr">
        <is>
          <t>Administrador CDS</t>
        </is>
      </c>
      <c r="O59" t="inlineStr">
        <is>
          <t>Recepción Almacén</t>
        </is>
      </c>
      <c r="P59" t="inlineStr">
        <is>
          <t>CARGUE-INICIAL-EXCEL</t>
        </is>
      </c>
    </row>
    <row r="60">
      <c r="A60" t="inlineStr">
        <is>
          <t>MOV-00057</t>
        </is>
      </c>
      <c r="B60" s="59" t="n">
        <v>46264</v>
      </c>
      <c r="C60" s="4" t="n">
        <v>0.3333333333333333</v>
      </c>
      <c r="D60" t="inlineStr">
        <is>
          <t>ENTRADA</t>
        </is>
      </c>
      <c r="E60" t="n">
        <v>7542</v>
      </c>
      <c r="F60" t="inlineStr">
        <is>
          <t>ABRAZADERA AJUSTABLE (UNISTRUT) INTERIOR 1 1/2"</t>
        </is>
      </c>
      <c r="G60" t="n">
        <v>22</v>
      </c>
      <c r="H60" t="inlineStr">
        <is>
          <t>Unidad</t>
        </is>
      </c>
      <c r="I60" t="inlineStr">
        <is>
          <t>PROVEEDOR</t>
        </is>
      </c>
      <c r="J60" t="inlineStr">
        <is>
          <t>CDS</t>
        </is>
      </c>
      <c r="K60" t="inlineStr">
        <is>
          <t>NUEVO / INICIAL</t>
        </is>
      </c>
      <c r="L60" t="inlineStr">
        <is>
          <t>A3</t>
        </is>
      </c>
      <c r="M60" t="inlineStr">
        <is>
          <t>Operacion Central</t>
        </is>
      </c>
      <c r="N60" t="inlineStr">
        <is>
          <t>Administrador CDS</t>
        </is>
      </c>
      <c r="O60" t="inlineStr">
        <is>
          <t>Recepción Almacén</t>
        </is>
      </c>
      <c r="P60" t="inlineStr">
        <is>
          <t>CARGUE-INICIAL-EXCEL</t>
        </is>
      </c>
    </row>
    <row r="61">
      <c r="A61" t="inlineStr">
        <is>
          <t>MOV-00058</t>
        </is>
      </c>
      <c r="B61" s="59" t="n">
        <v>46264</v>
      </c>
      <c r="C61" s="4" t="n">
        <v>0.3333333333333333</v>
      </c>
      <c r="D61" t="inlineStr">
        <is>
          <t>ENTRADA</t>
        </is>
      </c>
      <c r="E61" t="n">
        <v>7544</v>
      </c>
      <c r="F61" t="inlineStr">
        <is>
          <t>ABRAZADERA AJUSTABLE (UNISTRUT) INTERIOR 1"</t>
        </is>
      </c>
      <c r="G61" t="n">
        <v>103</v>
      </c>
      <c r="H61" t="inlineStr">
        <is>
          <t>Unidad</t>
        </is>
      </c>
      <c r="I61" t="inlineStr">
        <is>
          <t>PROVEEDOR</t>
        </is>
      </c>
      <c r="J61" t="inlineStr">
        <is>
          <t>CDS</t>
        </is>
      </c>
      <c r="K61" t="inlineStr">
        <is>
          <t>NUEVO / INICIAL</t>
        </is>
      </c>
      <c r="L61" t="inlineStr">
        <is>
          <t>A3</t>
        </is>
      </c>
      <c r="M61" t="inlineStr">
        <is>
          <t>Operacion Central</t>
        </is>
      </c>
      <c r="N61" t="inlineStr">
        <is>
          <t>Administrador CDS</t>
        </is>
      </c>
      <c r="O61" t="inlineStr">
        <is>
          <t>Recepción Almacén</t>
        </is>
      </c>
      <c r="P61" t="inlineStr">
        <is>
          <t>CARGUE-INICIAL-EXCEL</t>
        </is>
      </c>
    </row>
    <row r="62">
      <c r="A62" t="inlineStr">
        <is>
          <t>MOV-00059</t>
        </is>
      </c>
      <c r="B62" s="59" t="n">
        <v>46264</v>
      </c>
      <c r="C62" s="4" t="n">
        <v>0.3333333333333333</v>
      </c>
      <c r="D62" t="inlineStr">
        <is>
          <t>ENTRADA</t>
        </is>
      </c>
      <c r="E62" t="n">
        <v>7545</v>
      </c>
      <c r="F62" t="inlineStr">
        <is>
          <t>ABRAZADERA AJUSTABLE (UNISTRUT) INTERIOR 1/2"</t>
        </is>
      </c>
      <c r="G62" t="n">
        <v>12</v>
      </c>
      <c r="H62" t="inlineStr">
        <is>
          <t>Unidad</t>
        </is>
      </c>
      <c r="I62" t="inlineStr">
        <is>
          <t>PROVEEDOR</t>
        </is>
      </c>
      <c r="J62" t="inlineStr">
        <is>
          <t>CDS</t>
        </is>
      </c>
      <c r="K62" t="inlineStr">
        <is>
          <t>NUEVO / INICIAL</t>
        </is>
      </c>
      <c r="L62" t="inlineStr">
        <is>
          <t>A3</t>
        </is>
      </c>
      <c r="M62" t="inlineStr">
        <is>
          <t>Operacion Central</t>
        </is>
      </c>
      <c r="N62" t="inlineStr">
        <is>
          <t>Administrador CDS</t>
        </is>
      </c>
      <c r="O62" t="inlineStr">
        <is>
          <t>Recepción Almacén</t>
        </is>
      </c>
      <c r="P62" t="inlineStr">
        <is>
          <t>CARGUE-INICIAL-EXCEL</t>
        </is>
      </c>
    </row>
    <row r="63">
      <c r="A63" t="inlineStr">
        <is>
          <t>MOV-00060</t>
        </is>
      </c>
      <c r="B63" s="59" t="n">
        <v>46264</v>
      </c>
      <c r="C63" s="4" t="n">
        <v>0.3333333333333333</v>
      </c>
      <c r="D63" t="inlineStr">
        <is>
          <t>ENTRADA</t>
        </is>
      </c>
      <c r="E63" t="n">
        <v>7547</v>
      </c>
      <c r="F63" t="inlineStr">
        <is>
          <t>ABRAZADERA AJUSTABLE (UNISTRUT) INTERIOR 2"</t>
        </is>
      </c>
      <c r="G63" t="n">
        <v>36</v>
      </c>
      <c r="H63" t="inlineStr">
        <is>
          <t>Unidad</t>
        </is>
      </c>
      <c r="I63" t="inlineStr">
        <is>
          <t>PROVEEDOR</t>
        </is>
      </c>
      <c r="J63" t="inlineStr">
        <is>
          <t>CDS</t>
        </is>
      </c>
      <c r="K63" t="inlineStr">
        <is>
          <t>NUEVO / INICIAL</t>
        </is>
      </c>
      <c r="L63" t="inlineStr">
        <is>
          <t>A3</t>
        </is>
      </c>
      <c r="M63" t="inlineStr">
        <is>
          <t>Operacion Central</t>
        </is>
      </c>
      <c r="N63" t="inlineStr">
        <is>
          <t>Administrador CDS</t>
        </is>
      </c>
      <c r="O63" t="inlineStr">
        <is>
          <t>Recepción Almacén</t>
        </is>
      </c>
      <c r="P63" t="inlineStr">
        <is>
          <t>CARGUE-INICIAL-EXCEL</t>
        </is>
      </c>
    </row>
    <row r="64">
      <c r="A64" t="inlineStr">
        <is>
          <t>MOV-00061</t>
        </is>
      </c>
      <c r="B64" s="59" t="n">
        <v>46264</v>
      </c>
      <c r="C64" s="4" t="n">
        <v>0.3333333333333333</v>
      </c>
      <c r="D64" t="inlineStr">
        <is>
          <t>ENTRADA</t>
        </is>
      </c>
      <c r="E64" t="n">
        <v>7548</v>
      </c>
      <c r="F64" t="inlineStr">
        <is>
          <t>ABRAZADERA AJUSTABLE (UNISTRUT) INTERIOR 3/4"</t>
        </is>
      </c>
      <c r="G64" t="n">
        <v>37</v>
      </c>
      <c r="H64" t="inlineStr">
        <is>
          <t>Unidad</t>
        </is>
      </c>
      <c r="I64" t="inlineStr">
        <is>
          <t>PROVEEDOR</t>
        </is>
      </c>
      <c r="J64" t="inlineStr">
        <is>
          <t>CDS</t>
        </is>
      </c>
      <c r="K64" t="inlineStr">
        <is>
          <t>NUEVO / INICIAL</t>
        </is>
      </c>
      <c r="L64" t="inlineStr">
        <is>
          <t>A3</t>
        </is>
      </c>
      <c r="M64" t="inlineStr">
        <is>
          <t>Operacion Central</t>
        </is>
      </c>
      <c r="N64" t="inlineStr">
        <is>
          <t>Administrador CDS</t>
        </is>
      </c>
      <c r="O64" t="inlineStr">
        <is>
          <t>Recepción Almacén</t>
        </is>
      </c>
      <c r="P64" t="inlineStr">
        <is>
          <t>CARGUE-INICIAL-EXCEL</t>
        </is>
      </c>
    </row>
    <row r="65">
      <c r="A65" t="inlineStr">
        <is>
          <t>MOV-00062</t>
        </is>
      </c>
      <c r="B65" s="59" t="n">
        <v>46264</v>
      </c>
      <c r="C65" s="4" t="n">
        <v>0.3333333333333333</v>
      </c>
      <c r="D65" t="inlineStr">
        <is>
          <t>ENTRADA</t>
        </is>
      </c>
      <c r="E65" t="n">
        <v>7549</v>
      </c>
      <c r="F65" t="inlineStr">
        <is>
          <t>ABRAZADERA COLGANTE (IMC/CORAZA) PARA EXTERIOR 1 1/2"</t>
        </is>
      </c>
      <c r="G65" t="n">
        <v>30</v>
      </c>
      <c r="H65" t="inlineStr">
        <is>
          <t>Unidad</t>
        </is>
      </c>
      <c r="I65" t="inlineStr">
        <is>
          <t>PROVEEDOR</t>
        </is>
      </c>
      <c r="J65" t="inlineStr">
        <is>
          <t>CDS</t>
        </is>
      </c>
      <c r="K65" t="inlineStr">
        <is>
          <t>NUEVO / INICIAL</t>
        </is>
      </c>
      <c r="L65" t="inlineStr">
        <is>
          <t>A3</t>
        </is>
      </c>
      <c r="M65" t="inlineStr">
        <is>
          <t>Operacion Central</t>
        </is>
      </c>
      <c r="N65" t="inlineStr">
        <is>
          <t>Administrador CDS</t>
        </is>
      </c>
      <c r="O65" t="inlineStr">
        <is>
          <t>Recepción Almacén</t>
        </is>
      </c>
      <c r="P65" t="inlineStr">
        <is>
          <t>CARGUE-INICIAL-EXCEL</t>
        </is>
      </c>
    </row>
    <row r="66">
      <c r="A66" t="inlineStr">
        <is>
          <t>MOV-00063</t>
        </is>
      </c>
      <c r="B66" s="59" t="n">
        <v>46264</v>
      </c>
      <c r="C66" s="4" t="n">
        <v>0.3333333333333333</v>
      </c>
      <c r="D66" t="inlineStr">
        <is>
          <t>ENTRADA</t>
        </is>
      </c>
      <c r="E66" t="n">
        <v>7551</v>
      </c>
      <c r="F66" t="inlineStr">
        <is>
          <t>ABRAZADERA COLGANTE (IMC/CORAZA) PARA EXTERIOR 1"</t>
        </is>
      </c>
      <c r="G66" t="n">
        <v>24</v>
      </c>
      <c r="H66" t="inlineStr">
        <is>
          <t>Unidad</t>
        </is>
      </c>
      <c r="I66" t="inlineStr">
        <is>
          <t>PROVEEDOR</t>
        </is>
      </c>
      <c r="J66" t="inlineStr">
        <is>
          <t>CDS</t>
        </is>
      </c>
      <c r="K66" t="inlineStr">
        <is>
          <t>NUEVO / INICIAL</t>
        </is>
      </c>
      <c r="L66" t="inlineStr">
        <is>
          <t>A3</t>
        </is>
      </c>
      <c r="M66" t="inlineStr">
        <is>
          <t>Operacion Central</t>
        </is>
      </c>
      <c r="N66" t="inlineStr">
        <is>
          <t>Administrador CDS</t>
        </is>
      </c>
      <c r="O66" t="inlineStr">
        <is>
          <t>Recepción Almacén</t>
        </is>
      </c>
      <c r="P66" t="inlineStr">
        <is>
          <t>CARGUE-INICIAL-EXCEL</t>
        </is>
      </c>
    </row>
    <row r="67">
      <c r="A67" t="inlineStr">
        <is>
          <t>MOV-00064</t>
        </is>
      </c>
      <c r="B67" s="59" t="n">
        <v>46264</v>
      </c>
      <c r="C67" s="4" t="n">
        <v>0.3333333333333333</v>
      </c>
      <c r="D67" t="inlineStr">
        <is>
          <t>ENTRADA</t>
        </is>
      </c>
      <c r="E67" t="n">
        <v>7552</v>
      </c>
      <c r="F67" t="inlineStr">
        <is>
          <t>ABRAZADERA COLGANTE (IMC/CORAZA) PARA EXTERIOR 1/2"</t>
        </is>
      </c>
      <c r="G67" t="n">
        <v>30</v>
      </c>
      <c r="H67" t="inlineStr">
        <is>
          <t>Unidad</t>
        </is>
      </c>
      <c r="I67" t="inlineStr">
        <is>
          <t>PROVEEDOR</t>
        </is>
      </c>
      <c r="J67" t="inlineStr">
        <is>
          <t>CDS</t>
        </is>
      </c>
      <c r="K67" t="inlineStr">
        <is>
          <t>NUEVO / INICIAL</t>
        </is>
      </c>
      <c r="L67" t="inlineStr">
        <is>
          <t>A3</t>
        </is>
      </c>
      <c r="M67" t="inlineStr">
        <is>
          <t>Operacion Central</t>
        </is>
      </c>
      <c r="N67" t="inlineStr">
        <is>
          <t>Administrador CDS</t>
        </is>
      </c>
      <c r="O67" t="inlineStr">
        <is>
          <t>Recepción Almacén</t>
        </is>
      </c>
      <c r="P67" t="inlineStr">
        <is>
          <t>CARGUE-INICIAL-EXCEL</t>
        </is>
      </c>
    </row>
    <row r="68">
      <c r="A68" t="inlineStr">
        <is>
          <t>MOV-00065</t>
        </is>
      </c>
      <c r="B68" s="59" t="n">
        <v>46264</v>
      </c>
      <c r="C68" s="4" t="n">
        <v>0.3333333333333333</v>
      </c>
      <c r="D68" t="inlineStr">
        <is>
          <t>ENTRADA</t>
        </is>
      </c>
      <c r="E68" t="n">
        <v>7554</v>
      </c>
      <c r="F68" t="inlineStr">
        <is>
          <t>ABRAZADERA COLGANTE (IMC/CORAZA) PARA EXTERIOR 2"</t>
        </is>
      </c>
      <c r="G68" t="n">
        <v>68</v>
      </c>
      <c r="H68" t="inlineStr">
        <is>
          <t>Unidad</t>
        </is>
      </c>
      <c r="I68" t="inlineStr">
        <is>
          <t>PROVEEDOR</t>
        </is>
      </c>
      <c r="J68" t="inlineStr">
        <is>
          <t>CDS</t>
        </is>
      </c>
      <c r="K68" t="inlineStr">
        <is>
          <t>NUEVO / INICIAL</t>
        </is>
      </c>
      <c r="L68" t="inlineStr">
        <is>
          <t>A3</t>
        </is>
      </c>
      <c r="M68" t="inlineStr">
        <is>
          <t>Operacion Central</t>
        </is>
      </c>
      <c r="N68" t="inlineStr">
        <is>
          <t>Administrador CDS</t>
        </is>
      </c>
      <c r="O68" t="inlineStr">
        <is>
          <t>Recepción Almacén</t>
        </is>
      </c>
      <c r="P68" t="inlineStr">
        <is>
          <t>CARGUE-INICIAL-EXCEL</t>
        </is>
      </c>
    </row>
    <row r="69">
      <c r="A69" t="inlineStr">
        <is>
          <t>MOV-00066</t>
        </is>
      </c>
      <c r="B69" s="59" t="n">
        <v>46264</v>
      </c>
      <c r="C69" s="4" t="n">
        <v>0.3333333333333333</v>
      </c>
      <c r="D69" t="inlineStr">
        <is>
          <t>ENTRADA</t>
        </is>
      </c>
      <c r="E69" t="n">
        <v>7555</v>
      </c>
      <c r="F69" t="inlineStr">
        <is>
          <t>ABRAZADERA COLGANTE (IMC/CORAZA) PARA EXTERIOR 3/4"</t>
        </is>
      </c>
      <c r="G69" t="n">
        <v>28</v>
      </c>
      <c r="H69" t="inlineStr">
        <is>
          <t>Unidad</t>
        </is>
      </c>
      <c r="I69" t="inlineStr">
        <is>
          <t>PROVEEDOR</t>
        </is>
      </c>
      <c r="J69" t="inlineStr">
        <is>
          <t>CDS</t>
        </is>
      </c>
      <c r="K69" t="inlineStr">
        <is>
          <t>NUEVO / INICIAL</t>
        </is>
      </c>
      <c r="L69" t="inlineStr">
        <is>
          <t>A3</t>
        </is>
      </c>
      <c r="M69" t="inlineStr">
        <is>
          <t>Operacion Central</t>
        </is>
      </c>
      <c r="N69" t="inlineStr">
        <is>
          <t>Administrador CDS</t>
        </is>
      </c>
      <c r="O69" t="inlineStr">
        <is>
          <t>Recepción Almacén</t>
        </is>
      </c>
      <c r="P69" t="inlineStr">
        <is>
          <t>CARGUE-INICIAL-EXCEL</t>
        </is>
      </c>
    </row>
    <row r="70">
      <c r="A70" t="inlineStr">
        <is>
          <t>MOV-00067</t>
        </is>
      </c>
      <c r="B70" s="59" t="n">
        <v>46264</v>
      </c>
      <c r="C70" s="4" t="n">
        <v>0.3333333333333333</v>
      </c>
      <c r="D70" t="inlineStr">
        <is>
          <t>ENTRADA</t>
        </is>
      </c>
      <c r="E70" t="n">
        <v>7556</v>
      </c>
      <c r="F70" t="inlineStr">
        <is>
          <t>ABRAZADERA COLGANTE PARA INTERIOR 1 1/2"</t>
        </is>
      </c>
      <c r="G70" t="n">
        <v>9</v>
      </c>
      <c r="H70" t="inlineStr">
        <is>
          <t>Unidad</t>
        </is>
      </c>
      <c r="I70" t="inlineStr">
        <is>
          <t>PROVEEDOR</t>
        </is>
      </c>
      <c r="J70" t="inlineStr">
        <is>
          <t>CDS</t>
        </is>
      </c>
      <c r="K70" t="inlineStr">
        <is>
          <t>NUEVO / INICIAL</t>
        </is>
      </c>
      <c r="L70" t="inlineStr">
        <is>
          <t>A3</t>
        </is>
      </c>
      <c r="M70" t="inlineStr">
        <is>
          <t>Operacion Central</t>
        </is>
      </c>
      <c r="N70" t="inlineStr">
        <is>
          <t>Administrador CDS</t>
        </is>
      </c>
      <c r="O70" t="inlineStr">
        <is>
          <t>Recepción Almacén</t>
        </is>
      </c>
      <c r="P70" t="inlineStr">
        <is>
          <t>CARGUE-INICIAL-EXCEL</t>
        </is>
      </c>
    </row>
    <row r="71">
      <c r="A71" t="inlineStr">
        <is>
          <t>MOV-00068</t>
        </is>
      </c>
      <c r="B71" s="59" t="n">
        <v>46264</v>
      </c>
      <c r="C71" s="4" t="n">
        <v>0.3333333333333333</v>
      </c>
      <c r="D71" t="inlineStr">
        <is>
          <t>ENTRADA</t>
        </is>
      </c>
      <c r="E71" t="n">
        <v>7557</v>
      </c>
      <c r="F71" t="inlineStr">
        <is>
          <t>ABRAZADERA COLGANTE PARA INTERIOR 1 1/4"</t>
        </is>
      </c>
      <c r="G71" t="n">
        <v>3</v>
      </c>
      <c r="H71" t="inlineStr">
        <is>
          <t>Unidad</t>
        </is>
      </c>
      <c r="I71" t="inlineStr">
        <is>
          <t>PROVEEDOR</t>
        </is>
      </c>
      <c r="J71" t="inlineStr">
        <is>
          <t>CDS</t>
        </is>
      </c>
      <c r="K71" t="inlineStr">
        <is>
          <t>NUEVO / INICIAL</t>
        </is>
      </c>
      <c r="L71" t="inlineStr">
        <is>
          <t>A3</t>
        </is>
      </c>
      <c r="M71" t="inlineStr">
        <is>
          <t>Operacion Central</t>
        </is>
      </c>
      <c r="N71" t="inlineStr">
        <is>
          <t>Administrador CDS</t>
        </is>
      </c>
      <c r="O71" t="inlineStr">
        <is>
          <t>Recepción Almacén</t>
        </is>
      </c>
      <c r="P71" t="inlineStr">
        <is>
          <t>CARGUE-INICIAL-EXCEL</t>
        </is>
      </c>
    </row>
    <row r="72">
      <c r="A72" t="inlineStr">
        <is>
          <t>MOV-00069</t>
        </is>
      </c>
      <c r="B72" s="59" t="n">
        <v>46264</v>
      </c>
      <c r="C72" s="4" t="n">
        <v>0.3333333333333333</v>
      </c>
      <c r="D72" t="inlineStr">
        <is>
          <t>ENTRADA</t>
        </is>
      </c>
      <c r="E72" t="n">
        <v>7558</v>
      </c>
      <c r="F72" t="inlineStr">
        <is>
          <t>ABRAZADERA COLGANTE PARA INTERIOR 1"</t>
        </is>
      </c>
      <c r="G72" t="n">
        <v>211</v>
      </c>
      <c r="H72" t="inlineStr">
        <is>
          <t>Unidad</t>
        </is>
      </c>
      <c r="I72" t="inlineStr">
        <is>
          <t>PROVEEDOR</t>
        </is>
      </c>
      <c r="J72" t="inlineStr">
        <is>
          <t>CDS</t>
        </is>
      </c>
      <c r="K72" t="inlineStr">
        <is>
          <t>NUEVO / INICIAL</t>
        </is>
      </c>
      <c r="L72" t="inlineStr">
        <is>
          <t>A3</t>
        </is>
      </c>
      <c r="M72" t="inlineStr">
        <is>
          <t>Operacion Central</t>
        </is>
      </c>
      <c r="N72" t="inlineStr">
        <is>
          <t>Administrador CDS</t>
        </is>
      </c>
      <c r="O72" t="inlineStr">
        <is>
          <t>Recepción Almacén</t>
        </is>
      </c>
      <c r="P72" t="inlineStr">
        <is>
          <t>CARGUE-INICIAL-EXCEL</t>
        </is>
      </c>
    </row>
    <row r="73">
      <c r="A73" t="inlineStr">
        <is>
          <t>MOV-00070</t>
        </is>
      </c>
      <c r="B73" s="59" t="n">
        <v>46264</v>
      </c>
      <c r="C73" s="4" t="n">
        <v>0.3333333333333333</v>
      </c>
      <c r="D73" t="inlineStr">
        <is>
          <t>ENTRADA</t>
        </is>
      </c>
      <c r="E73" t="n">
        <v>7559</v>
      </c>
      <c r="F73" t="inlineStr">
        <is>
          <t>ABRAZADERA COLGANTE PARA INTERIOR 1/2"</t>
        </is>
      </c>
      <c r="G73" t="n">
        <v>7</v>
      </c>
      <c r="H73" t="inlineStr">
        <is>
          <t>Unidad</t>
        </is>
      </c>
      <c r="I73" t="inlineStr">
        <is>
          <t>PROVEEDOR</t>
        </is>
      </c>
      <c r="J73" t="inlineStr">
        <is>
          <t>CDS</t>
        </is>
      </c>
      <c r="K73" t="inlineStr">
        <is>
          <t>NUEVO / INICIAL</t>
        </is>
      </c>
      <c r="L73" t="inlineStr">
        <is>
          <t>A3</t>
        </is>
      </c>
      <c r="M73" t="inlineStr">
        <is>
          <t>Operacion Central</t>
        </is>
      </c>
      <c r="N73" t="inlineStr">
        <is>
          <t>Administrador CDS</t>
        </is>
      </c>
      <c r="O73" t="inlineStr">
        <is>
          <t>Recepción Almacén</t>
        </is>
      </c>
      <c r="P73" t="inlineStr">
        <is>
          <t>CARGUE-INICIAL-EXCEL</t>
        </is>
      </c>
    </row>
    <row r="74">
      <c r="A74" t="inlineStr">
        <is>
          <t>MOV-00071</t>
        </is>
      </c>
      <c r="B74" s="59" t="n">
        <v>46264</v>
      </c>
      <c r="C74" s="4" t="n">
        <v>0.3333333333333333</v>
      </c>
      <c r="D74" t="inlineStr">
        <is>
          <t>ENTRADA</t>
        </is>
      </c>
      <c r="E74" t="n">
        <v>7562</v>
      </c>
      <c r="F74" t="inlineStr">
        <is>
          <t>ABRAZADERA COLGANTE PARA INTERIOR 3/4"</t>
        </is>
      </c>
      <c r="G74" t="n">
        <v>18</v>
      </c>
      <c r="H74" t="inlineStr">
        <is>
          <t>Unidad</t>
        </is>
      </c>
      <c r="I74" t="inlineStr">
        <is>
          <t>PROVEEDOR</t>
        </is>
      </c>
      <c r="J74" t="inlineStr">
        <is>
          <t>CDS</t>
        </is>
      </c>
      <c r="K74" t="inlineStr">
        <is>
          <t>NUEVO / INICIAL</t>
        </is>
      </c>
      <c r="L74" t="inlineStr">
        <is>
          <t>A3</t>
        </is>
      </c>
      <c r="M74" t="inlineStr">
        <is>
          <t>Operacion Central</t>
        </is>
      </c>
      <c r="N74" t="inlineStr">
        <is>
          <t>Administrador CDS</t>
        </is>
      </c>
      <c r="O74" t="inlineStr">
        <is>
          <t>Recepción Almacén</t>
        </is>
      </c>
      <c r="P74" t="inlineStr">
        <is>
          <t>CARGUE-INICIAL-EXCEL</t>
        </is>
      </c>
    </row>
    <row r="75">
      <c r="A75" t="inlineStr">
        <is>
          <t>MOV-00072</t>
        </is>
      </c>
      <c r="B75" s="59" t="n">
        <v>46264</v>
      </c>
      <c r="C75" s="4" t="n">
        <v>0.3333333333333333</v>
      </c>
      <c r="D75" t="inlineStr">
        <is>
          <t>ENTRADA</t>
        </is>
      </c>
      <c r="E75" t="n">
        <v>7563</v>
      </c>
      <c r="F75" t="inlineStr">
        <is>
          <t>ABRAZADERA DOBLE ALA (IMC/CORAZA) PARA EXTERIOR 1 1/2"</t>
        </is>
      </c>
      <c r="G75" t="n">
        <v>26</v>
      </c>
      <c r="H75" t="inlineStr">
        <is>
          <t>Unidad</t>
        </is>
      </c>
      <c r="I75" t="inlineStr">
        <is>
          <t>PROVEEDOR</t>
        </is>
      </c>
      <c r="J75" t="inlineStr">
        <is>
          <t>CDS</t>
        </is>
      </c>
      <c r="K75" t="inlineStr">
        <is>
          <t>NUEVO / INICIAL</t>
        </is>
      </c>
      <c r="L75" t="inlineStr">
        <is>
          <t>A3</t>
        </is>
      </c>
      <c r="M75" t="inlineStr">
        <is>
          <t>Operacion Central</t>
        </is>
      </c>
      <c r="N75" t="inlineStr">
        <is>
          <t>Administrador CDS</t>
        </is>
      </c>
      <c r="O75" t="inlineStr">
        <is>
          <t>Recepción Almacén</t>
        </is>
      </c>
      <c r="P75" t="inlineStr">
        <is>
          <t>CARGUE-INICIAL-EXCEL</t>
        </is>
      </c>
    </row>
    <row r="76">
      <c r="A76" t="inlineStr">
        <is>
          <t>MOV-00073</t>
        </is>
      </c>
      <c r="B76" s="59" t="n">
        <v>46264</v>
      </c>
      <c r="C76" s="4" t="n">
        <v>0.3333333333333333</v>
      </c>
      <c r="D76" t="inlineStr">
        <is>
          <t>ENTRADA</t>
        </is>
      </c>
      <c r="E76" t="n">
        <v>7564</v>
      </c>
      <c r="F76" t="inlineStr">
        <is>
          <t>ABRAZADERA DOBLE ALA (IMC/CORAZA) PARA EXTERIOR 1 1/4"</t>
        </is>
      </c>
      <c r="G76" t="n">
        <v>12</v>
      </c>
      <c r="H76" t="inlineStr">
        <is>
          <t>Unidad</t>
        </is>
      </c>
      <c r="I76" t="inlineStr">
        <is>
          <t>PROVEEDOR</t>
        </is>
      </c>
      <c r="J76" t="inlineStr">
        <is>
          <t>CDS</t>
        </is>
      </c>
      <c r="K76" t="inlineStr">
        <is>
          <t>NUEVO / INICIAL</t>
        </is>
      </c>
      <c r="L76" t="inlineStr">
        <is>
          <t>A3</t>
        </is>
      </c>
      <c r="M76" t="inlineStr">
        <is>
          <t>Operacion Central</t>
        </is>
      </c>
      <c r="N76" t="inlineStr">
        <is>
          <t>Administrador CDS</t>
        </is>
      </c>
      <c r="O76" t="inlineStr">
        <is>
          <t>Recepción Almacén</t>
        </is>
      </c>
      <c r="P76" t="inlineStr">
        <is>
          <t>CARGUE-INICIAL-EXCEL</t>
        </is>
      </c>
    </row>
    <row r="77">
      <c r="A77" t="inlineStr">
        <is>
          <t>MOV-00074</t>
        </is>
      </c>
      <c r="B77" s="59" t="n">
        <v>46264</v>
      </c>
      <c r="C77" s="4" t="n">
        <v>0.3333333333333333</v>
      </c>
      <c r="D77" t="inlineStr">
        <is>
          <t>ENTRADA</t>
        </is>
      </c>
      <c r="E77" t="n">
        <v>7565</v>
      </c>
      <c r="F77" t="inlineStr">
        <is>
          <t>ABRAZADERA DOBLE ALA (IMC/CORAZA) PARA EXTERIOR 1"</t>
        </is>
      </c>
      <c r="G77" t="n">
        <v>27</v>
      </c>
      <c r="H77" t="inlineStr">
        <is>
          <t>Unidad</t>
        </is>
      </c>
      <c r="I77" t="inlineStr">
        <is>
          <t>PROVEEDOR</t>
        </is>
      </c>
      <c r="J77" t="inlineStr">
        <is>
          <t>CDS</t>
        </is>
      </c>
      <c r="K77" t="inlineStr">
        <is>
          <t>NUEVO / INICIAL</t>
        </is>
      </c>
      <c r="L77" t="inlineStr">
        <is>
          <t>A3</t>
        </is>
      </c>
      <c r="M77" t="inlineStr">
        <is>
          <t>Operacion Central</t>
        </is>
      </c>
      <c r="N77" t="inlineStr">
        <is>
          <t>Administrador CDS</t>
        </is>
      </c>
      <c r="O77" t="inlineStr">
        <is>
          <t>Recepción Almacén</t>
        </is>
      </c>
      <c r="P77" t="inlineStr">
        <is>
          <t>CARGUE-INICIAL-EXCEL</t>
        </is>
      </c>
    </row>
    <row r="78">
      <c r="A78" t="inlineStr">
        <is>
          <t>MOV-00075</t>
        </is>
      </c>
      <c r="B78" s="59" t="n">
        <v>46264</v>
      </c>
      <c r="C78" s="4" t="n">
        <v>0.3333333333333333</v>
      </c>
      <c r="D78" t="inlineStr">
        <is>
          <t>ENTRADA</t>
        </is>
      </c>
      <c r="E78" t="n">
        <v>7568</v>
      </c>
      <c r="F78" t="inlineStr">
        <is>
          <t>ABRAZADERA DOBLE ALA (IMC/CORAZA) PARA EXTERIOR 2"</t>
        </is>
      </c>
      <c r="G78" t="n">
        <v>3</v>
      </c>
      <c r="H78" t="inlineStr">
        <is>
          <t>Unidad</t>
        </is>
      </c>
      <c r="I78" t="inlineStr">
        <is>
          <t>PROVEEDOR</t>
        </is>
      </c>
      <c r="J78" t="inlineStr">
        <is>
          <t>CDS</t>
        </is>
      </c>
      <c r="K78" t="inlineStr">
        <is>
          <t>NUEVO / INICIAL</t>
        </is>
      </c>
      <c r="L78" t="inlineStr">
        <is>
          <t>A3</t>
        </is>
      </c>
      <c r="M78" t="inlineStr">
        <is>
          <t>Operacion Central</t>
        </is>
      </c>
      <c r="N78" t="inlineStr">
        <is>
          <t>Administrador CDS</t>
        </is>
      </c>
      <c r="O78" t="inlineStr">
        <is>
          <t>Recepción Almacén</t>
        </is>
      </c>
      <c r="P78" t="inlineStr">
        <is>
          <t>CARGUE-INICIAL-EXCEL</t>
        </is>
      </c>
    </row>
    <row r="79">
      <c r="A79" t="inlineStr">
        <is>
          <t>MOV-00076</t>
        </is>
      </c>
      <c r="B79" s="59" t="n">
        <v>46264</v>
      </c>
      <c r="C79" s="4" t="n">
        <v>0.3333333333333333</v>
      </c>
      <c r="D79" t="inlineStr">
        <is>
          <t>ENTRADA</t>
        </is>
      </c>
      <c r="E79" t="n">
        <v>7569</v>
      </c>
      <c r="F79" t="inlineStr">
        <is>
          <t>ABRAZADERA DOBLE ALA (IMC/CORAZA) PARA EXTERIOR 3/4"</t>
        </is>
      </c>
      <c r="G79" t="n">
        <v>48</v>
      </c>
      <c r="H79" t="inlineStr">
        <is>
          <t>Unidad</t>
        </is>
      </c>
      <c r="I79" t="inlineStr">
        <is>
          <t>PROVEEDOR</t>
        </is>
      </c>
      <c r="J79" t="inlineStr">
        <is>
          <t>CDS</t>
        </is>
      </c>
      <c r="K79" t="inlineStr">
        <is>
          <t>NUEVO / INICIAL</t>
        </is>
      </c>
      <c r="L79" t="inlineStr">
        <is>
          <t>A3</t>
        </is>
      </c>
      <c r="M79" t="inlineStr">
        <is>
          <t>Operacion Central</t>
        </is>
      </c>
      <c r="N79" t="inlineStr">
        <is>
          <t>Administrador CDS</t>
        </is>
      </c>
      <c r="O79" t="inlineStr">
        <is>
          <t>Recepción Almacén</t>
        </is>
      </c>
      <c r="P79" t="inlineStr">
        <is>
          <t>CARGUE-INICIAL-EXCEL</t>
        </is>
      </c>
    </row>
    <row r="80">
      <c r="A80" t="inlineStr">
        <is>
          <t>MOV-00077</t>
        </is>
      </c>
      <c r="B80" s="59" t="n">
        <v>46264</v>
      </c>
      <c r="C80" s="4" t="n">
        <v>0.3333333333333333</v>
      </c>
      <c r="D80" t="inlineStr">
        <is>
          <t>ENTRADA</t>
        </is>
      </c>
      <c r="E80" t="n">
        <v>7570</v>
      </c>
      <c r="F80" t="inlineStr">
        <is>
          <t>ABRAZADERA DOBLE ALA PARA INTERIOR 1 1/2"</t>
        </is>
      </c>
      <c r="G80" t="n">
        <v>96</v>
      </c>
      <c r="H80" t="inlineStr">
        <is>
          <t>Unidad</t>
        </is>
      </c>
      <c r="I80" t="inlineStr">
        <is>
          <t>PROVEEDOR</t>
        </is>
      </c>
      <c r="J80" t="inlineStr">
        <is>
          <t>CDS</t>
        </is>
      </c>
      <c r="K80" t="inlineStr">
        <is>
          <t>NUEVO / INICIAL</t>
        </is>
      </c>
      <c r="L80" t="inlineStr">
        <is>
          <t>A3</t>
        </is>
      </c>
      <c r="M80" t="inlineStr">
        <is>
          <t>Operacion Central</t>
        </is>
      </c>
      <c r="N80" t="inlineStr">
        <is>
          <t>Administrador CDS</t>
        </is>
      </c>
      <c r="O80" t="inlineStr">
        <is>
          <t>Recepción Almacén</t>
        </is>
      </c>
      <c r="P80" t="inlineStr">
        <is>
          <t>CARGUE-INICIAL-EXCEL</t>
        </is>
      </c>
    </row>
    <row r="81">
      <c r="A81" t="inlineStr">
        <is>
          <t>MOV-00078</t>
        </is>
      </c>
      <c r="B81" s="59" t="n">
        <v>46264</v>
      </c>
      <c r="C81" s="4" t="n">
        <v>0.3333333333333333</v>
      </c>
      <c r="D81" t="inlineStr">
        <is>
          <t>ENTRADA</t>
        </is>
      </c>
      <c r="E81" t="n">
        <v>7572</v>
      </c>
      <c r="F81" t="inlineStr">
        <is>
          <t>ABRAZADERA DOBLE ALA PARA INTERIOR 1"</t>
        </is>
      </c>
      <c r="G81" t="n">
        <v>88</v>
      </c>
      <c r="H81" t="inlineStr">
        <is>
          <t>Unidad</t>
        </is>
      </c>
      <c r="I81" t="inlineStr">
        <is>
          <t>PROVEEDOR</t>
        </is>
      </c>
      <c r="J81" t="inlineStr">
        <is>
          <t>CDS</t>
        </is>
      </c>
      <c r="K81" t="inlineStr">
        <is>
          <t>NUEVO / INICIAL</t>
        </is>
      </c>
      <c r="L81" t="inlineStr">
        <is>
          <t>A3</t>
        </is>
      </c>
      <c r="M81" t="inlineStr">
        <is>
          <t>Operacion Central</t>
        </is>
      </c>
      <c r="N81" t="inlineStr">
        <is>
          <t>Administrador CDS</t>
        </is>
      </c>
      <c r="O81" t="inlineStr">
        <is>
          <t>Recepción Almacén</t>
        </is>
      </c>
      <c r="P81" t="inlineStr">
        <is>
          <t>CARGUE-INICIAL-EXCEL</t>
        </is>
      </c>
    </row>
    <row r="82">
      <c r="A82" t="inlineStr">
        <is>
          <t>MOV-00079</t>
        </is>
      </c>
      <c r="B82" s="59" t="n">
        <v>46264</v>
      </c>
      <c r="C82" s="4" t="n">
        <v>0.3333333333333333</v>
      </c>
      <c r="D82" t="inlineStr">
        <is>
          <t>ENTRADA</t>
        </is>
      </c>
      <c r="E82" t="n">
        <v>7573</v>
      </c>
      <c r="F82" t="inlineStr">
        <is>
          <t>ABRAZADERA DOBLE ALA PARA INTERIOR 1/2"</t>
        </is>
      </c>
      <c r="G82" t="n">
        <v>17</v>
      </c>
      <c r="H82" t="inlineStr">
        <is>
          <t>Unidad</t>
        </is>
      </c>
      <c r="I82" t="inlineStr">
        <is>
          <t>PROVEEDOR</t>
        </is>
      </c>
      <c r="J82" t="inlineStr">
        <is>
          <t>CDS</t>
        </is>
      </c>
      <c r="K82" t="inlineStr">
        <is>
          <t>NUEVO / INICIAL</t>
        </is>
      </c>
      <c r="L82" t="inlineStr">
        <is>
          <t>A3</t>
        </is>
      </c>
      <c r="M82" t="inlineStr">
        <is>
          <t>Operacion Central</t>
        </is>
      </c>
      <c r="N82" t="inlineStr">
        <is>
          <t>Administrador CDS</t>
        </is>
      </c>
      <c r="O82" t="inlineStr">
        <is>
          <t>Recepción Almacén</t>
        </is>
      </c>
      <c r="P82" t="inlineStr">
        <is>
          <t>CARGUE-INICIAL-EXCEL</t>
        </is>
      </c>
    </row>
    <row r="83">
      <c r="A83" t="inlineStr">
        <is>
          <t>MOV-00080</t>
        </is>
      </c>
      <c r="B83" s="59" t="n">
        <v>46264</v>
      </c>
      <c r="C83" s="4" t="n">
        <v>0.3333333333333333</v>
      </c>
      <c r="D83" t="inlineStr">
        <is>
          <t>ENTRADA</t>
        </is>
      </c>
      <c r="E83" t="n">
        <v>7575</v>
      </c>
      <c r="F83" t="inlineStr">
        <is>
          <t>ABRAZADERA DOBLE ALA PARA INTERIOR 2"</t>
        </is>
      </c>
      <c r="G83" t="n">
        <v>11</v>
      </c>
      <c r="H83" t="inlineStr">
        <is>
          <t>Unidad</t>
        </is>
      </c>
      <c r="I83" t="inlineStr">
        <is>
          <t>PROVEEDOR</t>
        </is>
      </c>
      <c r="J83" t="inlineStr">
        <is>
          <t>CDS</t>
        </is>
      </c>
      <c r="K83" t="inlineStr">
        <is>
          <t>NUEVO / INICIAL</t>
        </is>
      </c>
      <c r="L83" t="inlineStr">
        <is>
          <t>A3</t>
        </is>
      </c>
      <c r="M83" t="inlineStr">
        <is>
          <t>Operacion Central</t>
        </is>
      </c>
      <c r="N83" t="inlineStr">
        <is>
          <t>Administrador CDS</t>
        </is>
      </c>
      <c r="O83" t="inlineStr">
        <is>
          <t>Recepción Almacén</t>
        </is>
      </c>
      <c r="P83" t="inlineStr">
        <is>
          <t>CARGUE-INICIAL-EXCEL</t>
        </is>
      </c>
    </row>
    <row r="84">
      <c r="A84" t="inlineStr">
        <is>
          <t>MOV-00081</t>
        </is>
      </c>
      <c r="B84" s="59" t="n">
        <v>46264</v>
      </c>
      <c r="C84" s="4" t="n">
        <v>0.3333333333333333</v>
      </c>
      <c r="D84" t="inlineStr">
        <is>
          <t>ENTRADA</t>
        </is>
      </c>
      <c r="E84" t="n">
        <v>7576</v>
      </c>
      <c r="F84" t="inlineStr">
        <is>
          <t>ABRAZADERA DOBLE ALA PARA INTERIOR 3/4"</t>
        </is>
      </c>
      <c r="G84" t="n">
        <v>216</v>
      </c>
      <c r="H84" t="inlineStr">
        <is>
          <t>Unidad</t>
        </is>
      </c>
      <c r="I84" t="inlineStr">
        <is>
          <t>PROVEEDOR</t>
        </is>
      </c>
      <c r="J84" t="inlineStr">
        <is>
          <t>CDS</t>
        </is>
      </c>
      <c r="K84" t="inlineStr">
        <is>
          <t>NUEVO / INICIAL</t>
        </is>
      </c>
      <c r="L84" t="inlineStr">
        <is>
          <t>A3</t>
        </is>
      </c>
      <c r="M84" t="inlineStr">
        <is>
          <t>Operacion Central</t>
        </is>
      </c>
      <c r="N84" t="inlineStr">
        <is>
          <t>Administrador CDS</t>
        </is>
      </c>
      <c r="O84" t="inlineStr">
        <is>
          <t>Recepción Almacén</t>
        </is>
      </c>
      <c r="P84" t="inlineStr">
        <is>
          <t>CARGUE-INICIAL-EXCEL</t>
        </is>
      </c>
    </row>
    <row r="85">
      <c r="A85" t="inlineStr">
        <is>
          <t>MOV-00082</t>
        </is>
      </c>
      <c r="B85" s="59" t="n">
        <v>46264</v>
      </c>
      <c r="C85" s="4" t="n">
        <v>0.3333333333333333</v>
      </c>
      <c r="D85" t="inlineStr">
        <is>
          <t>ENTRADA</t>
        </is>
      </c>
      <c r="E85" t="n">
        <v>7579</v>
      </c>
      <c r="F85" t="inlineStr">
        <is>
          <t>ABRAZADERA UN ALA (IMC/CORAZA) PARA EXTERIOR 1"</t>
        </is>
      </c>
      <c r="G85" t="n">
        <v>20</v>
      </c>
      <c r="H85" t="inlineStr">
        <is>
          <t>Unidad</t>
        </is>
      </c>
      <c r="I85" t="inlineStr">
        <is>
          <t>PROVEEDOR</t>
        </is>
      </c>
      <c r="J85" t="inlineStr">
        <is>
          <t>CDS</t>
        </is>
      </c>
      <c r="K85" t="inlineStr">
        <is>
          <t>NUEVO / INICIAL</t>
        </is>
      </c>
      <c r="L85" t="inlineStr">
        <is>
          <t>A3</t>
        </is>
      </c>
      <c r="M85" t="inlineStr">
        <is>
          <t>Operacion Central</t>
        </is>
      </c>
      <c r="N85" t="inlineStr">
        <is>
          <t>Administrador CDS</t>
        </is>
      </c>
      <c r="O85" t="inlineStr">
        <is>
          <t>Recepción Almacén</t>
        </is>
      </c>
      <c r="P85" t="inlineStr">
        <is>
          <t>CARGUE-INICIAL-EXCEL</t>
        </is>
      </c>
    </row>
    <row r="86">
      <c r="A86" t="inlineStr">
        <is>
          <t>MOV-00083</t>
        </is>
      </c>
      <c r="B86" s="59" t="n">
        <v>46264</v>
      </c>
      <c r="C86" s="4" t="n">
        <v>0.3333333333333333</v>
      </c>
      <c r="D86" t="inlineStr">
        <is>
          <t>ENTRADA</t>
        </is>
      </c>
      <c r="E86" t="n">
        <v>7590</v>
      </c>
      <c r="F86" t="inlineStr">
        <is>
          <t>ABRAZADERA UN ALA PARA INTERIOR 3/4"</t>
        </is>
      </c>
      <c r="G86" t="n">
        <v>13</v>
      </c>
      <c r="H86" t="inlineStr">
        <is>
          <t>Unidad</t>
        </is>
      </c>
      <c r="I86" t="inlineStr">
        <is>
          <t>PROVEEDOR</t>
        </is>
      </c>
      <c r="J86" t="inlineStr">
        <is>
          <t>CDS</t>
        </is>
      </c>
      <c r="K86" t="inlineStr">
        <is>
          <t>NUEVO / INICIAL</t>
        </is>
      </c>
      <c r="L86" t="inlineStr">
        <is>
          <t>A3</t>
        </is>
      </c>
      <c r="M86" t="inlineStr">
        <is>
          <t>Operacion Central</t>
        </is>
      </c>
      <c r="N86" t="inlineStr">
        <is>
          <t>Administrador CDS</t>
        </is>
      </c>
      <c r="O86" t="inlineStr">
        <is>
          <t>Recepción Almacén</t>
        </is>
      </c>
      <c r="P86" t="inlineStr">
        <is>
          <t>CARGUE-INICIAL-EXCEL</t>
        </is>
      </c>
    </row>
    <row r="87">
      <c r="A87" t="inlineStr">
        <is>
          <t>MOV-00084</t>
        </is>
      </c>
      <c r="B87" s="59" t="n">
        <v>46264</v>
      </c>
      <c r="C87" s="4" t="n">
        <v>0.3333333333333333</v>
      </c>
      <c r="D87" t="inlineStr">
        <is>
          <t>ENTRADA</t>
        </is>
      </c>
      <c r="E87" t="n">
        <v>7707</v>
      </c>
      <c r="F87" t="inlineStr">
        <is>
          <t>SELLANTE ADHESIVO SIKA</t>
        </is>
      </c>
      <c r="G87" t="n">
        <v>3</v>
      </c>
      <c r="H87" t="inlineStr">
        <is>
          <t>Unidad</t>
        </is>
      </c>
      <c r="I87" t="inlineStr">
        <is>
          <t>PROVEEDOR</t>
        </is>
      </c>
      <c r="J87" t="inlineStr">
        <is>
          <t>CDS</t>
        </is>
      </c>
      <c r="K87" t="inlineStr">
        <is>
          <t>NUEVO / INICIAL</t>
        </is>
      </c>
      <c r="L87" t="inlineStr">
        <is>
          <t>A2</t>
        </is>
      </c>
      <c r="M87" t="inlineStr">
        <is>
          <t>Operacion Central</t>
        </is>
      </c>
      <c r="N87" t="inlineStr">
        <is>
          <t>Administrador CDS</t>
        </is>
      </c>
      <c r="O87" t="inlineStr">
        <is>
          <t>Recepción Almacén</t>
        </is>
      </c>
      <c r="P87" t="inlineStr">
        <is>
          <t>CARGUE-INICIAL-EXCEL</t>
        </is>
      </c>
    </row>
    <row r="88">
      <c r="A88" t="inlineStr">
        <is>
          <t>MOV-00085</t>
        </is>
      </c>
      <c r="B88" s="59" t="n">
        <v>46264</v>
      </c>
      <c r="C88" s="4" t="n">
        <v>0.3333333333333333</v>
      </c>
      <c r="D88" t="inlineStr">
        <is>
          <t>ENTRADA</t>
        </is>
      </c>
      <c r="E88" t="n">
        <v>7752</v>
      </c>
      <c r="F88" t="inlineStr">
        <is>
          <t>CONDULETA CC 1 1/2" INTEMPERIE</t>
        </is>
      </c>
      <c r="G88" t="n">
        <v>2</v>
      </c>
      <c r="H88" t="inlineStr">
        <is>
          <t>Unidad</t>
        </is>
      </c>
      <c r="I88" t="inlineStr">
        <is>
          <t>PROVEEDOR</t>
        </is>
      </c>
      <c r="J88" t="inlineStr">
        <is>
          <t>CDS</t>
        </is>
      </c>
      <c r="K88" t="inlineStr">
        <is>
          <t>NUEVO / INICIAL</t>
        </is>
      </c>
      <c r="L88" t="inlineStr">
        <is>
          <t>A5</t>
        </is>
      </c>
      <c r="M88" t="inlineStr">
        <is>
          <t>Operacion Central</t>
        </is>
      </c>
      <c r="N88" t="inlineStr">
        <is>
          <t>Administrador CDS</t>
        </is>
      </c>
      <c r="O88" t="inlineStr">
        <is>
          <t>Recepción Almacén</t>
        </is>
      </c>
      <c r="P88" t="inlineStr">
        <is>
          <t>CARGUE-INICIAL-EXCEL</t>
        </is>
      </c>
    </row>
    <row r="89">
      <c r="A89" t="inlineStr">
        <is>
          <t>MOV-00086</t>
        </is>
      </c>
      <c r="B89" s="59" t="n">
        <v>46264</v>
      </c>
      <c r="C89" s="4" t="n">
        <v>0.3333333333333333</v>
      </c>
      <c r="D89" t="inlineStr">
        <is>
          <t>ENTRADA</t>
        </is>
      </c>
      <c r="E89" t="n">
        <v>7753</v>
      </c>
      <c r="F89" t="inlineStr">
        <is>
          <t>CONDULETA CC 1 1/2" INTERIOR</t>
        </is>
      </c>
      <c r="G89" t="n">
        <v>5</v>
      </c>
      <c r="H89" t="inlineStr">
        <is>
          <t>Unidad</t>
        </is>
      </c>
      <c r="I89" t="inlineStr">
        <is>
          <t>PROVEEDOR</t>
        </is>
      </c>
      <c r="J89" t="inlineStr">
        <is>
          <t>CDS</t>
        </is>
      </c>
      <c r="K89" t="inlineStr">
        <is>
          <t>NUEVO / INICIAL</t>
        </is>
      </c>
      <c r="L89" t="inlineStr">
        <is>
          <t>A4</t>
        </is>
      </c>
      <c r="M89" t="inlineStr">
        <is>
          <t>Operacion Central</t>
        </is>
      </c>
      <c r="N89" t="inlineStr">
        <is>
          <t>Administrador CDS</t>
        </is>
      </c>
      <c r="O89" t="inlineStr">
        <is>
          <t>Recepción Almacén</t>
        </is>
      </c>
      <c r="P89" t="inlineStr">
        <is>
          <t>CARGUE-INICIAL-EXCEL</t>
        </is>
      </c>
    </row>
    <row r="90">
      <c r="A90" t="inlineStr">
        <is>
          <t>MOV-00087</t>
        </is>
      </c>
      <c r="B90" s="59" t="n">
        <v>46264</v>
      </c>
      <c r="C90" s="4" t="n">
        <v>0.3333333333333333</v>
      </c>
      <c r="D90" t="inlineStr">
        <is>
          <t>ENTRADA</t>
        </is>
      </c>
      <c r="E90" t="n">
        <v>7756</v>
      </c>
      <c r="F90" t="inlineStr">
        <is>
          <t>CONDULETA CC 1" INTEMPERIE</t>
        </is>
      </c>
      <c r="G90" t="n">
        <v>11</v>
      </c>
      <c r="H90" t="inlineStr">
        <is>
          <t>Unidad</t>
        </is>
      </c>
      <c r="I90" t="inlineStr">
        <is>
          <t>PROVEEDOR</t>
        </is>
      </c>
      <c r="J90" t="inlineStr">
        <is>
          <t>CDS</t>
        </is>
      </c>
      <c r="K90" t="inlineStr">
        <is>
          <t>NUEVO / INICIAL</t>
        </is>
      </c>
      <c r="L90" t="inlineStr">
        <is>
          <t>A4</t>
        </is>
      </c>
      <c r="M90" t="inlineStr">
        <is>
          <t>Operacion Central</t>
        </is>
      </c>
      <c r="N90" t="inlineStr">
        <is>
          <t>Administrador CDS</t>
        </is>
      </c>
      <c r="O90" t="inlineStr">
        <is>
          <t>Recepción Almacén</t>
        </is>
      </c>
      <c r="P90" t="inlineStr">
        <is>
          <t>CARGUE-INICIAL-EXCEL</t>
        </is>
      </c>
    </row>
    <row r="91">
      <c r="A91" t="inlineStr">
        <is>
          <t>MOV-00088</t>
        </is>
      </c>
      <c r="B91" s="59" t="n">
        <v>46264</v>
      </c>
      <c r="C91" s="4" t="n">
        <v>0.3333333333333333</v>
      </c>
      <c r="D91" t="inlineStr">
        <is>
          <t>ENTRADA</t>
        </is>
      </c>
      <c r="E91" t="n">
        <v>7757</v>
      </c>
      <c r="F91" t="inlineStr">
        <is>
          <t>CONDULETA CC 1" INTERIOR</t>
        </is>
      </c>
      <c r="G91" t="n">
        <v>12</v>
      </c>
      <c r="H91" t="inlineStr">
        <is>
          <t>Unidad</t>
        </is>
      </c>
      <c r="I91" t="inlineStr">
        <is>
          <t>PROVEEDOR</t>
        </is>
      </c>
      <c r="J91" t="inlineStr">
        <is>
          <t>CDS</t>
        </is>
      </c>
      <c r="K91" t="inlineStr">
        <is>
          <t>NUEVO / INICIAL</t>
        </is>
      </c>
      <c r="L91" t="inlineStr">
        <is>
          <t>A5</t>
        </is>
      </c>
      <c r="M91" t="inlineStr">
        <is>
          <t>Operacion Central</t>
        </is>
      </c>
      <c r="N91" t="inlineStr">
        <is>
          <t>Administrador CDS</t>
        </is>
      </c>
      <c r="O91" t="inlineStr">
        <is>
          <t>Recepción Almacén</t>
        </is>
      </c>
      <c r="P91" t="inlineStr">
        <is>
          <t>CARGUE-INICIAL-EXCEL</t>
        </is>
      </c>
    </row>
    <row r="92">
      <c r="A92" t="inlineStr">
        <is>
          <t>MOV-00089</t>
        </is>
      </c>
      <c r="B92" s="59" t="n">
        <v>46264</v>
      </c>
      <c r="C92" s="4" t="n">
        <v>0.3333333333333333</v>
      </c>
      <c r="D92" t="inlineStr">
        <is>
          <t>ENTRADA</t>
        </is>
      </c>
      <c r="E92" t="n">
        <v>7760</v>
      </c>
      <c r="F92" t="inlineStr">
        <is>
          <t>CONDULETA CC 2" INTEMPERIE</t>
        </is>
      </c>
      <c r="G92" t="n">
        <v>5</v>
      </c>
      <c r="H92" t="inlineStr">
        <is>
          <t>Unidad</t>
        </is>
      </c>
      <c r="I92" t="inlineStr">
        <is>
          <t>PROVEEDOR</t>
        </is>
      </c>
      <c r="J92" t="inlineStr">
        <is>
          <t>CDS</t>
        </is>
      </c>
      <c r="K92" t="inlineStr">
        <is>
          <t>NUEVO / INICIAL</t>
        </is>
      </c>
      <c r="L92" t="inlineStr">
        <is>
          <t>A4</t>
        </is>
      </c>
      <c r="M92" t="inlineStr">
        <is>
          <t>Operacion Central</t>
        </is>
      </c>
      <c r="N92" t="inlineStr">
        <is>
          <t>Administrador CDS</t>
        </is>
      </c>
      <c r="O92" t="inlineStr">
        <is>
          <t>Recepción Almacén</t>
        </is>
      </c>
      <c r="P92" t="inlineStr">
        <is>
          <t>CARGUE-INICIAL-EXCEL</t>
        </is>
      </c>
    </row>
    <row r="93">
      <c r="A93" t="inlineStr">
        <is>
          <t>MOV-00090</t>
        </is>
      </c>
      <c r="B93" s="59" t="n">
        <v>46264</v>
      </c>
      <c r="C93" s="4" t="n">
        <v>0.3333333333333333</v>
      </c>
      <c r="D93" t="inlineStr">
        <is>
          <t>ENTRADA</t>
        </is>
      </c>
      <c r="E93" t="n">
        <v>7761</v>
      </c>
      <c r="F93" t="inlineStr">
        <is>
          <t>CONDULETA CC 2" INTERIOR</t>
        </is>
      </c>
      <c r="G93" t="n">
        <v>6</v>
      </c>
      <c r="H93" t="inlineStr">
        <is>
          <t>Unidad</t>
        </is>
      </c>
      <c r="I93" t="inlineStr">
        <is>
          <t>PROVEEDOR</t>
        </is>
      </c>
      <c r="J93" t="inlineStr">
        <is>
          <t>CDS</t>
        </is>
      </c>
      <c r="K93" t="inlineStr">
        <is>
          <t>NUEVO / INICIAL</t>
        </is>
      </c>
      <c r="L93" t="inlineStr">
        <is>
          <t>A4</t>
        </is>
      </c>
      <c r="M93" t="inlineStr">
        <is>
          <t>Operacion Central</t>
        </is>
      </c>
      <c r="N93" t="inlineStr">
        <is>
          <t>Administrador CDS</t>
        </is>
      </c>
      <c r="O93" t="inlineStr">
        <is>
          <t>Recepción Almacén</t>
        </is>
      </c>
      <c r="P93" t="inlineStr">
        <is>
          <t>CARGUE-INICIAL-EXCEL</t>
        </is>
      </c>
    </row>
    <row r="94">
      <c r="A94" t="inlineStr">
        <is>
          <t>MOV-00091</t>
        </is>
      </c>
      <c r="B94" s="59" t="n">
        <v>46264</v>
      </c>
      <c r="C94" s="4" t="n">
        <v>0.3333333333333333</v>
      </c>
      <c r="D94" t="inlineStr">
        <is>
          <t>ENTRADA</t>
        </is>
      </c>
      <c r="E94" t="n">
        <v>7762</v>
      </c>
      <c r="F94" t="inlineStr">
        <is>
          <t>CONDULETA CC 3/4" INTEMPERIE</t>
        </is>
      </c>
      <c r="G94" t="n">
        <v>18</v>
      </c>
      <c r="H94" t="inlineStr">
        <is>
          <t>Unidad</t>
        </is>
      </c>
      <c r="I94" t="inlineStr">
        <is>
          <t>PROVEEDOR</t>
        </is>
      </c>
      <c r="J94" t="inlineStr">
        <is>
          <t>CDS</t>
        </is>
      </c>
      <c r="K94" t="inlineStr">
        <is>
          <t>NUEVO / INICIAL</t>
        </is>
      </c>
      <c r="L94" t="inlineStr">
        <is>
          <t>A4</t>
        </is>
      </c>
      <c r="M94" t="inlineStr">
        <is>
          <t>Operacion Central</t>
        </is>
      </c>
      <c r="N94" t="inlineStr">
        <is>
          <t>Administrador CDS</t>
        </is>
      </c>
      <c r="O94" t="inlineStr">
        <is>
          <t>Recepción Almacén</t>
        </is>
      </c>
      <c r="P94" t="inlineStr">
        <is>
          <t>CARGUE-INICIAL-EXCEL</t>
        </is>
      </c>
    </row>
    <row r="95">
      <c r="A95" t="inlineStr">
        <is>
          <t>MOV-00092</t>
        </is>
      </c>
      <c r="B95" s="59" t="n">
        <v>46264</v>
      </c>
      <c r="C95" s="4" t="n">
        <v>0.3333333333333333</v>
      </c>
      <c r="D95" t="inlineStr">
        <is>
          <t>ENTRADA</t>
        </is>
      </c>
      <c r="E95" t="n">
        <v>7763</v>
      </c>
      <c r="F95" t="inlineStr">
        <is>
          <t>CONDULETA CC 3/4" INTERIOR</t>
        </is>
      </c>
      <c r="G95" t="n">
        <v>33</v>
      </c>
      <c r="H95" t="inlineStr">
        <is>
          <t>Unidad</t>
        </is>
      </c>
      <c r="I95" t="inlineStr">
        <is>
          <t>PROVEEDOR</t>
        </is>
      </c>
      <c r="J95" t="inlineStr">
        <is>
          <t>CDS</t>
        </is>
      </c>
      <c r="K95" t="inlineStr">
        <is>
          <t>NUEVO / INICIAL</t>
        </is>
      </c>
      <c r="L95" t="inlineStr">
        <is>
          <t>A5</t>
        </is>
      </c>
      <c r="M95" t="inlineStr">
        <is>
          <t>Operacion Central</t>
        </is>
      </c>
      <c r="N95" t="inlineStr">
        <is>
          <t>Administrador CDS</t>
        </is>
      </c>
      <c r="O95" t="inlineStr">
        <is>
          <t>Recepción Almacén</t>
        </is>
      </c>
      <c r="P95" t="inlineStr">
        <is>
          <t>CARGUE-INICIAL-EXCEL</t>
        </is>
      </c>
    </row>
    <row r="96">
      <c r="A96" t="inlineStr">
        <is>
          <t>MOV-00093</t>
        </is>
      </c>
      <c r="B96" s="59" t="n">
        <v>46264</v>
      </c>
      <c r="C96" s="4" t="n">
        <v>0.3333333333333333</v>
      </c>
      <c r="D96" t="inlineStr">
        <is>
          <t>ENTRADA</t>
        </is>
      </c>
      <c r="E96" t="n">
        <v>7764</v>
      </c>
      <c r="F96" t="inlineStr">
        <is>
          <t>CONDULETA LB 1 1/2" INTEMPERIE</t>
        </is>
      </c>
      <c r="G96" t="n">
        <v>15</v>
      </c>
      <c r="H96" t="inlineStr">
        <is>
          <t>Unidad</t>
        </is>
      </c>
      <c r="I96" t="inlineStr">
        <is>
          <t>PROVEEDOR</t>
        </is>
      </c>
      <c r="J96" t="inlineStr">
        <is>
          <t>CDS</t>
        </is>
      </c>
      <c r="K96" t="inlineStr">
        <is>
          <t>NUEVO / INICIAL</t>
        </is>
      </c>
      <c r="L96" t="inlineStr">
        <is>
          <t>A3</t>
        </is>
      </c>
      <c r="M96" t="inlineStr">
        <is>
          <t>Operacion Central</t>
        </is>
      </c>
      <c r="N96" t="inlineStr">
        <is>
          <t>Administrador CDS</t>
        </is>
      </c>
      <c r="O96" t="inlineStr">
        <is>
          <t>Recepción Almacén</t>
        </is>
      </c>
      <c r="P96" t="inlineStr">
        <is>
          <t>CARGUE-INICIAL-EXCEL</t>
        </is>
      </c>
    </row>
    <row r="97">
      <c r="A97" t="inlineStr">
        <is>
          <t>MOV-00094</t>
        </is>
      </c>
      <c r="B97" s="59" t="n">
        <v>46264</v>
      </c>
      <c r="C97" s="4" t="n">
        <v>0.3333333333333333</v>
      </c>
      <c r="D97" t="inlineStr">
        <is>
          <t>ENTRADA</t>
        </is>
      </c>
      <c r="E97" t="n">
        <v>7765</v>
      </c>
      <c r="F97" t="inlineStr">
        <is>
          <t>CONDULETA LB 1 1/2" INTERIOR</t>
        </is>
      </c>
      <c r="G97" t="n">
        <v>11</v>
      </c>
      <c r="H97" t="inlineStr">
        <is>
          <t>Unidad</t>
        </is>
      </c>
      <c r="I97" t="inlineStr">
        <is>
          <t>PROVEEDOR</t>
        </is>
      </c>
      <c r="J97" t="inlineStr">
        <is>
          <t>CDS</t>
        </is>
      </c>
      <c r="K97" t="inlineStr">
        <is>
          <t>NUEVO / INICIAL</t>
        </is>
      </c>
      <c r="L97" t="inlineStr">
        <is>
          <t>A4</t>
        </is>
      </c>
      <c r="M97" t="inlineStr">
        <is>
          <t>Operacion Central</t>
        </is>
      </c>
      <c r="N97" t="inlineStr">
        <is>
          <t>Administrador CDS</t>
        </is>
      </c>
      <c r="O97" t="inlineStr">
        <is>
          <t>Recepción Almacén</t>
        </is>
      </c>
      <c r="P97" t="inlineStr">
        <is>
          <t>CARGUE-INICIAL-EXCEL</t>
        </is>
      </c>
    </row>
    <row r="98">
      <c r="A98" t="inlineStr">
        <is>
          <t>MOV-00095</t>
        </is>
      </c>
      <c r="B98" s="59" t="n">
        <v>46264</v>
      </c>
      <c r="C98" s="4" t="n">
        <v>0.3333333333333333</v>
      </c>
      <c r="D98" t="inlineStr">
        <is>
          <t>ENTRADA</t>
        </is>
      </c>
      <c r="E98" t="n">
        <v>7766</v>
      </c>
      <c r="F98" t="inlineStr">
        <is>
          <t>CONDULETA LB 1 1/4" INTEMPERIE</t>
        </is>
      </c>
      <c r="G98" t="n">
        <v>1</v>
      </c>
      <c r="H98" t="inlineStr">
        <is>
          <t>Unidad</t>
        </is>
      </c>
      <c r="I98" t="inlineStr">
        <is>
          <t>PROVEEDOR</t>
        </is>
      </c>
      <c r="J98" t="inlineStr">
        <is>
          <t>CDS</t>
        </is>
      </c>
      <c r="K98" t="inlineStr">
        <is>
          <t>NUEVO / INICIAL</t>
        </is>
      </c>
      <c r="L98" t="inlineStr">
        <is>
          <t>A5</t>
        </is>
      </c>
      <c r="M98" t="inlineStr">
        <is>
          <t>Operacion Central</t>
        </is>
      </c>
      <c r="N98" t="inlineStr">
        <is>
          <t>Administrador CDS</t>
        </is>
      </c>
      <c r="O98" t="inlineStr">
        <is>
          <t>Recepción Almacén</t>
        </is>
      </c>
      <c r="P98" t="inlineStr">
        <is>
          <t>CARGUE-INICIAL-EXCEL</t>
        </is>
      </c>
    </row>
    <row r="99">
      <c r="A99" t="inlineStr">
        <is>
          <t>MOV-00096</t>
        </is>
      </c>
      <c r="B99" s="59" t="n">
        <v>46264</v>
      </c>
      <c r="C99" s="4" t="n">
        <v>0.3333333333333333</v>
      </c>
      <c r="D99" t="inlineStr">
        <is>
          <t>ENTRADA</t>
        </is>
      </c>
      <c r="E99" t="n">
        <v>7768</v>
      </c>
      <c r="F99" t="inlineStr">
        <is>
          <t>CONDULETA LB 1" INTEMPERIE</t>
        </is>
      </c>
      <c r="G99" t="n">
        <v>50</v>
      </c>
      <c r="H99" t="inlineStr">
        <is>
          <t>Unidad</t>
        </is>
      </c>
      <c r="I99" t="inlineStr">
        <is>
          <t>PROVEEDOR</t>
        </is>
      </c>
      <c r="J99" t="inlineStr">
        <is>
          <t>CDS</t>
        </is>
      </c>
      <c r="K99" t="inlineStr">
        <is>
          <t>NUEVO / INICIAL</t>
        </is>
      </c>
      <c r="L99" t="inlineStr">
        <is>
          <t>A3</t>
        </is>
      </c>
      <c r="M99" t="inlineStr">
        <is>
          <t>Operacion Central</t>
        </is>
      </c>
      <c r="N99" t="inlineStr">
        <is>
          <t>Administrador CDS</t>
        </is>
      </c>
      <c r="O99" t="inlineStr">
        <is>
          <t>Recepción Almacén</t>
        </is>
      </c>
      <c r="P99" t="inlineStr">
        <is>
          <t>CARGUE-INICIAL-EXCEL</t>
        </is>
      </c>
    </row>
    <row r="100">
      <c r="A100" t="inlineStr">
        <is>
          <t>MOV-00097</t>
        </is>
      </c>
      <c r="B100" s="59" t="n">
        <v>46264</v>
      </c>
      <c r="C100" s="4" t="n">
        <v>0.3333333333333333</v>
      </c>
      <c r="D100" t="inlineStr">
        <is>
          <t>ENTRADA</t>
        </is>
      </c>
      <c r="E100" t="n">
        <v>7769</v>
      </c>
      <c r="F100" t="inlineStr">
        <is>
          <t>CONDULETA LB 1" INTERIOR</t>
        </is>
      </c>
      <c r="G100" t="n">
        <v>63</v>
      </c>
      <c r="H100" t="inlineStr">
        <is>
          <t>Unidad</t>
        </is>
      </c>
      <c r="I100" t="inlineStr">
        <is>
          <t>PROVEEDOR</t>
        </is>
      </c>
      <c r="J100" t="inlineStr">
        <is>
          <t>CDS</t>
        </is>
      </c>
      <c r="K100" t="inlineStr">
        <is>
          <t>NUEVO / INICIAL</t>
        </is>
      </c>
      <c r="L100" t="inlineStr">
        <is>
          <t>A3</t>
        </is>
      </c>
      <c r="M100" t="inlineStr">
        <is>
          <t>Operacion Central</t>
        </is>
      </c>
      <c r="N100" t="inlineStr">
        <is>
          <t>Administrador CDS</t>
        </is>
      </c>
      <c r="O100" t="inlineStr">
        <is>
          <t>Recepción Almacén</t>
        </is>
      </c>
      <c r="P100" t="inlineStr">
        <is>
          <t>CARGUE-INICIAL-EXCEL</t>
        </is>
      </c>
    </row>
    <row r="101">
      <c r="A101" t="inlineStr">
        <is>
          <t>MOV-00098</t>
        </is>
      </c>
      <c r="B101" s="59" t="n">
        <v>46264</v>
      </c>
      <c r="C101" s="4" t="n">
        <v>0.3333333333333333</v>
      </c>
      <c r="D101" t="inlineStr">
        <is>
          <t>ENTRADA</t>
        </is>
      </c>
      <c r="E101" t="n">
        <v>7770</v>
      </c>
      <c r="F101" t="inlineStr">
        <is>
          <t>CONDULETA LB 1/2" INTEMPERIE</t>
        </is>
      </c>
      <c r="G101" t="n">
        <v>19</v>
      </c>
      <c r="H101" t="inlineStr">
        <is>
          <t>Unidad</t>
        </is>
      </c>
      <c r="I101" t="inlineStr">
        <is>
          <t>PROVEEDOR</t>
        </is>
      </c>
      <c r="J101" t="inlineStr">
        <is>
          <t>CDS</t>
        </is>
      </c>
      <c r="K101" t="inlineStr">
        <is>
          <t>NUEVO / INICIAL</t>
        </is>
      </c>
      <c r="L101" t="inlineStr">
        <is>
          <t>A5</t>
        </is>
      </c>
      <c r="M101" t="inlineStr">
        <is>
          <t>Operacion Central</t>
        </is>
      </c>
      <c r="N101" t="inlineStr">
        <is>
          <t>Administrador CDS</t>
        </is>
      </c>
      <c r="O101" t="inlineStr">
        <is>
          <t>Recepción Almacén</t>
        </is>
      </c>
      <c r="P101" t="inlineStr">
        <is>
          <t>CARGUE-INICIAL-EXCEL</t>
        </is>
      </c>
    </row>
    <row r="102">
      <c r="A102" t="inlineStr">
        <is>
          <t>MOV-00099</t>
        </is>
      </c>
      <c r="B102" s="59" t="n">
        <v>46264</v>
      </c>
      <c r="C102" s="4" t="n">
        <v>0.3333333333333333</v>
      </c>
      <c r="D102" t="inlineStr">
        <is>
          <t>ENTRADA</t>
        </is>
      </c>
      <c r="E102" t="n">
        <v>7771</v>
      </c>
      <c r="F102" t="inlineStr">
        <is>
          <t>CONDULETA LB 1/2" INTERIOR</t>
        </is>
      </c>
      <c r="G102" t="n">
        <v>3</v>
      </c>
      <c r="H102" t="inlineStr">
        <is>
          <t>Unidad</t>
        </is>
      </c>
      <c r="I102" t="inlineStr">
        <is>
          <t>PROVEEDOR</t>
        </is>
      </c>
      <c r="J102" t="inlineStr">
        <is>
          <t>CDS</t>
        </is>
      </c>
      <c r="K102" t="inlineStr">
        <is>
          <t>NUEVO / INICIAL</t>
        </is>
      </c>
      <c r="L102" t="inlineStr">
        <is>
          <t>A5</t>
        </is>
      </c>
      <c r="M102" t="inlineStr">
        <is>
          <t>Operacion Central</t>
        </is>
      </c>
      <c r="N102" t="inlineStr">
        <is>
          <t>Administrador CDS</t>
        </is>
      </c>
      <c r="O102" t="inlineStr">
        <is>
          <t>Recepción Almacén</t>
        </is>
      </c>
      <c r="P102" t="inlineStr">
        <is>
          <t>CARGUE-INICIAL-EXCEL</t>
        </is>
      </c>
    </row>
    <row r="103">
      <c r="A103" t="inlineStr">
        <is>
          <t>MOV-00100</t>
        </is>
      </c>
      <c r="B103" s="59" t="n">
        <v>46264</v>
      </c>
      <c r="C103" s="4" t="n">
        <v>0.3333333333333333</v>
      </c>
      <c r="D103" t="inlineStr">
        <is>
          <t>ENTRADA</t>
        </is>
      </c>
      <c r="E103" t="n">
        <v>7772</v>
      </c>
      <c r="F103" t="inlineStr">
        <is>
          <t>CONDULETA LB 2" INTEMPERIE</t>
        </is>
      </c>
      <c r="G103" t="n">
        <v>24</v>
      </c>
      <c r="H103" t="inlineStr">
        <is>
          <t>Unidad</t>
        </is>
      </c>
      <c r="I103" t="inlineStr">
        <is>
          <t>PROVEEDOR</t>
        </is>
      </c>
      <c r="J103" t="inlineStr">
        <is>
          <t>CDS</t>
        </is>
      </c>
      <c r="K103" t="inlineStr">
        <is>
          <t>NUEVO / INICIAL</t>
        </is>
      </c>
      <c r="L103" t="inlineStr">
        <is>
          <t>A4</t>
        </is>
      </c>
      <c r="M103" t="inlineStr">
        <is>
          <t>Operacion Central</t>
        </is>
      </c>
      <c r="N103" t="inlineStr">
        <is>
          <t>Administrador CDS</t>
        </is>
      </c>
      <c r="O103" t="inlineStr">
        <is>
          <t>Recepción Almacén</t>
        </is>
      </c>
      <c r="P103" t="inlineStr">
        <is>
          <t>CARGUE-INICIAL-EXCEL</t>
        </is>
      </c>
    </row>
    <row r="104">
      <c r="A104" t="inlineStr">
        <is>
          <t>MOV-00101</t>
        </is>
      </c>
      <c r="B104" s="59" t="n">
        <v>46264</v>
      </c>
      <c r="C104" s="4" t="n">
        <v>0.3333333333333333</v>
      </c>
      <c r="D104" t="inlineStr">
        <is>
          <t>ENTRADA</t>
        </is>
      </c>
      <c r="E104" t="n">
        <v>7773</v>
      </c>
      <c r="F104" t="inlineStr">
        <is>
          <t>CONDULETA LB 2" INTERIOR</t>
        </is>
      </c>
      <c r="G104" t="n">
        <v>5</v>
      </c>
      <c r="H104" t="inlineStr">
        <is>
          <t>Unidad</t>
        </is>
      </c>
      <c r="I104" t="inlineStr">
        <is>
          <t>PROVEEDOR</t>
        </is>
      </c>
      <c r="J104" t="inlineStr">
        <is>
          <t>CDS</t>
        </is>
      </c>
      <c r="K104" t="inlineStr">
        <is>
          <t>NUEVO / INICIAL</t>
        </is>
      </c>
      <c r="L104" t="inlineStr">
        <is>
          <t>A3</t>
        </is>
      </c>
      <c r="M104" t="inlineStr">
        <is>
          <t>Operacion Central</t>
        </is>
      </c>
      <c r="N104" t="inlineStr">
        <is>
          <t>Administrador CDS</t>
        </is>
      </c>
      <c r="O104" t="inlineStr">
        <is>
          <t>Recepción Almacén</t>
        </is>
      </c>
      <c r="P104" t="inlineStr">
        <is>
          <t>CARGUE-INICIAL-EXCEL</t>
        </is>
      </c>
    </row>
    <row r="105">
      <c r="A105" t="inlineStr">
        <is>
          <t>MOV-00102</t>
        </is>
      </c>
      <c r="B105" s="59" t="n">
        <v>46264</v>
      </c>
      <c r="C105" s="4" t="n">
        <v>0.3333333333333333</v>
      </c>
      <c r="D105" t="inlineStr">
        <is>
          <t>ENTRADA</t>
        </is>
      </c>
      <c r="E105" t="n">
        <v>7774</v>
      </c>
      <c r="F105" t="inlineStr">
        <is>
          <t>CONDULETA LB 3/4" INTEMPERIE</t>
        </is>
      </c>
      <c r="G105" t="n">
        <v>65</v>
      </c>
      <c r="H105" t="inlineStr">
        <is>
          <t>Unidad</t>
        </is>
      </c>
      <c r="I105" t="inlineStr">
        <is>
          <t>PROVEEDOR</t>
        </is>
      </c>
      <c r="J105" t="inlineStr">
        <is>
          <t>CDS</t>
        </is>
      </c>
      <c r="K105" t="inlineStr">
        <is>
          <t>NUEVO / INICIAL</t>
        </is>
      </c>
      <c r="L105" t="inlineStr">
        <is>
          <t>A3</t>
        </is>
      </c>
      <c r="M105" t="inlineStr">
        <is>
          <t>Operacion Central</t>
        </is>
      </c>
      <c r="N105" t="inlineStr">
        <is>
          <t>Administrador CDS</t>
        </is>
      </c>
      <c r="O105" t="inlineStr">
        <is>
          <t>Recepción Almacén</t>
        </is>
      </c>
      <c r="P105" t="inlineStr">
        <is>
          <t>CARGUE-INICIAL-EXCEL</t>
        </is>
      </c>
    </row>
    <row r="106">
      <c r="A106" t="inlineStr">
        <is>
          <t>MOV-00103</t>
        </is>
      </c>
      <c r="B106" s="59" t="n">
        <v>46264</v>
      </c>
      <c r="C106" s="4" t="n">
        <v>0.3333333333333333</v>
      </c>
      <c r="D106" t="inlineStr">
        <is>
          <t>ENTRADA</t>
        </is>
      </c>
      <c r="E106" t="n">
        <v>7775</v>
      </c>
      <c r="F106" t="inlineStr">
        <is>
          <t>CONDULETA LB 3/4" INTERIOR</t>
        </is>
      </c>
      <c r="G106" t="n">
        <v>21</v>
      </c>
      <c r="H106" t="inlineStr">
        <is>
          <t>Unidad</t>
        </is>
      </c>
      <c r="I106" t="inlineStr">
        <is>
          <t>PROVEEDOR</t>
        </is>
      </c>
      <c r="J106" t="inlineStr">
        <is>
          <t>CDS</t>
        </is>
      </c>
      <c r="K106" t="inlineStr">
        <is>
          <t>NUEVO / INICIAL</t>
        </is>
      </c>
      <c r="L106" t="inlineStr">
        <is>
          <t>A5</t>
        </is>
      </c>
      <c r="M106" t="inlineStr">
        <is>
          <t>Operacion Central</t>
        </is>
      </c>
      <c r="N106" t="inlineStr">
        <is>
          <t>Administrador CDS</t>
        </is>
      </c>
      <c r="O106" t="inlineStr">
        <is>
          <t>Recepción Almacén</t>
        </is>
      </c>
      <c r="P106" t="inlineStr">
        <is>
          <t>CARGUE-INICIAL-EXCEL</t>
        </is>
      </c>
    </row>
    <row r="107">
      <c r="A107" t="inlineStr">
        <is>
          <t>MOV-00104</t>
        </is>
      </c>
      <c r="B107" s="59" t="n">
        <v>46264</v>
      </c>
      <c r="C107" s="4" t="n">
        <v>0.3333333333333333</v>
      </c>
      <c r="D107" t="inlineStr">
        <is>
          <t>ENTRADA</t>
        </is>
      </c>
      <c r="E107" t="n">
        <v>7776</v>
      </c>
      <c r="F107" t="inlineStr">
        <is>
          <t>CONDULETA LL 1 1/2" INTEMPERIE</t>
        </is>
      </c>
      <c r="G107" t="n">
        <v>8</v>
      </c>
      <c r="H107" t="inlineStr">
        <is>
          <t>Unidad</t>
        </is>
      </c>
      <c r="I107" t="inlineStr">
        <is>
          <t>PROVEEDOR</t>
        </is>
      </c>
      <c r="J107" t="inlineStr">
        <is>
          <t>CDS</t>
        </is>
      </c>
      <c r="K107" t="inlineStr">
        <is>
          <t>NUEVO / INICIAL</t>
        </is>
      </c>
      <c r="L107" t="inlineStr">
        <is>
          <t>A4</t>
        </is>
      </c>
      <c r="M107" t="inlineStr">
        <is>
          <t>Operacion Central</t>
        </is>
      </c>
      <c r="N107" t="inlineStr">
        <is>
          <t>Administrador CDS</t>
        </is>
      </c>
      <c r="O107" t="inlineStr">
        <is>
          <t>Recepción Almacén</t>
        </is>
      </c>
      <c r="P107" t="inlineStr">
        <is>
          <t>CARGUE-INICIAL-EXCEL</t>
        </is>
      </c>
    </row>
    <row r="108">
      <c r="A108" t="inlineStr">
        <is>
          <t>MOV-00105</t>
        </is>
      </c>
      <c r="B108" s="59" t="n">
        <v>46264</v>
      </c>
      <c r="C108" s="4" t="n">
        <v>0.3333333333333333</v>
      </c>
      <c r="D108" t="inlineStr">
        <is>
          <t>ENTRADA</t>
        </is>
      </c>
      <c r="E108" t="n">
        <v>7777</v>
      </c>
      <c r="F108" t="inlineStr">
        <is>
          <t>CONDULETA LL 1 1/2" INTERIOR</t>
        </is>
      </c>
      <c r="G108" t="n">
        <v>4</v>
      </c>
      <c r="H108" t="inlineStr">
        <is>
          <t>Unidad</t>
        </is>
      </c>
      <c r="I108" t="inlineStr">
        <is>
          <t>PROVEEDOR</t>
        </is>
      </c>
      <c r="J108" t="inlineStr">
        <is>
          <t>CDS</t>
        </is>
      </c>
      <c r="K108" t="inlineStr">
        <is>
          <t>NUEVO / INICIAL</t>
        </is>
      </c>
      <c r="L108" t="inlineStr">
        <is>
          <t>A5</t>
        </is>
      </c>
      <c r="M108" t="inlineStr">
        <is>
          <t>Operacion Central</t>
        </is>
      </c>
      <c r="N108" t="inlineStr">
        <is>
          <t>Administrador CDS</t>
        </is>
      </c>
      <c r="O108" t="inlineStr">
        <is>
          <t>Recepción Almacén</t>
        </is>
      </c>
      <c r="P108" t="inlineStr">
        <is>
          <t>CARGUE-INICIAL-EXCEL</t>
        </is>
      </c>
    </row>
    <row r="109">
      <c r="A109" t="inlineStr">
        <is>
          <t>MOV-00106</t>
        </is>
      </c>
      <c r="B109" s="59" t="n">
        <v>46264</v>
      </c>
      <c r="C109" s="4" t="n">
        <v>0.3333333333333333</v>
      </c>
      <c r="D109" t="inlineStr">
        <is>
          <t>ENTRADA</t>
        </is>
      </c>
      <c r="E109" t="n">
        <v>7778</v>
      </c>
      <c r="F109" t="inlineStr">
        <is>
          <t>B</t>
        </is>
      </c>
      <c r="G109" t="n">
        <v>1</v>
      </c>
      <c r="H109" t="inlineStr">
        <is>
          <t>Unidad</t>
        </is>
      </c>
      <c r="I109" t="inlineStr">
        <is>
          <t>PROVEEDOR</t>
        </is>
      </c>
      <c r="J109" t="inlineStr">
        <is>
          <t>CDS</t>
        </is>
      </c>
      <c r="K109" t="inlineStr">
        <is>
          <t>NUEVO / INICIAL</t>
        </is>
      </c>
      <c r="L109" t="inlineStr">
        <is>
          <t>A5</t>
        </is>
      </c>
      <c r="M109" t="inlineStr">
        <is>
          <t>Operacion Central</t>
        </is>
      </c>
      <c r="N109" t="inlineStr">
        <is>
          <t>Administrador CDS</t>
        </is>
      </c>
      <c r="O109" t="inlineStr">
        <is>
          <t>Recepción Almacén</t>
        </is>
      </c>
      <c r="P109" t="inlineStr">
        <is>
          <t>CARGUE-INICIAL-EXCEL</t>
        </is>
      </c>
    </row>
    <row r="110">
      <c r="A110" t="inlineStr">
        <is>
          <t>MOV-00107</t>
        </is>
      </c>
      <c r="B110" s="59" t="n">
        <v>46264</v>
      </c>
      <c r="C110" s="4" t="n">
        <v>0.3333333333333333</v>
      </c>
      <c r="D110" t="inlineStr">
        <is>
          <t>ENTRADA</t>
        </is>
      </c>
      <c r="E110" t="n">
        <v>7780</v>
      </c>
      <c r="F110" t="inlineStr">
        <is>
          <t>CONDULETA LL 1" EXTERIOR</t>
        </is>
      </c>
      <c r="G110" t="n">
        <v>14</v>
      </c>
      <c r="H110" t="inlineStr">
        <is>
          <t>Unidad</t>
        </is>
      </c>
      <c r="I110" t="inlineStr">
        <is>
          <t>PROVEEDOR</t>
        </is>
      </c>
      <c r="J110" t="inlineStr">
        <is>
          <t>CDS</t>
        </is>
      </c>
      <c r="K110" t="inlineStr">
        <is>
          <t>NUEVO / INICIAL</t>
        </is>
      </c>
      <c r="L110" t="inlineStr">
        <is>
          <t>A5</t>
        </is>
      </c>
      <c r="M110" t="inlineStr">
        <is>
          <t>Operacion Central</t>
        </is>
      </c>
      <c r="N110" t="inlineStr">
        <is>
          <t>Administrador CDS</t>
        </is>
      </c>
      <c r="O110" t="inlineStr">
        <is>
          <t>Recepción Almacén</t>
        </is>
      </c>
      <c r="P110" t="inlineStr">
        <is>
          <t>CARGUE-INICIAL-EXCEL</t>
        </is>
      </c>
    </row>
    <row r="111">
      <c r="A111" t="inlineStr">
        <is>
          <t>MOV-00108</t>
        </is>
      </c>
      <c r="B111" s="59" t="n">
        <v>46264</v>
      </c>
      <c r="C111" s="4" t="n">
        <v>0.3333333333333333</v>
      </c>
      <c r="D111" t="inlineStr">
        <is>
          <t>ENTRADA</t>
        </is>
      </c>
      <c r="E111" t="n">
        <v>7781</v>
      </c>
      <c r="F111" t="inlineStr">
        <is>
          <t>CONDULETA LL 1" INTERIOR</t>
        </is>
      </c>
      <c r="G111" t="n">
        <v>22</v>
      </c>
      <c r="H111" t="inlineStr">
        <is>
          <t>Unidad</t>
        </is>
      </c>
      <c r="I111" t="inlineStr">
        <is>
          <t>PROVEEDOR</t>
        </is>
      </c>
      <c r="J111" t="inlineStr">
        <is>
          <t>CDS</t>
        </is>
      </c>
      <c r="K111" t="inlineStr">
        <is>
          <t>NUEVO / INICIAL</t>
        </is>
      </c>
      <c r="L111" t="inlineStr">
        <is>
          <t>A5</t>
        </is>
      </c>
      <c r="M111" t="inlineStr">
        <is>
          <t>Operacion Central</t>
        </is>
      </c>
      <c r="N111" t="inlineStr">
        <is>
          <t>Administrador CDS</t>
        </is>
      </c>
      <c r="O111" t="inlineStr">
        <is>
          <t>Recepción Almacén</t>
        </is>
      </c>
      <c r="P111" t="inlineStr">
        <is>
          <t>CARGUE-INICIAL-EXCEL</t>
        </is>
      </c>
    </row>
    <row r="112">
      <c r="A112" t="inlineStr">
        <is>
          <t>MOV-00109</t>
        </is>
      </c>
      <c r="B112" s="59" t="n">
        <v>46264</v>
      </c>
      <c r="C112" s="4" t="n">
        <v>0.3333333333333333</v>
      </c>
      <c r="D112" t="inlineStr">
        <is>
          <t>ENTRADA</t>
        </is>
      </c>
      <c r="E112" t="n">
        <v>7784</v>
      </c>
      <c r="F112" t="inlineStr">
        <is>
          <t>CONDULETA LL 2" INTEMPERIE</t>
        </is>
      </c>
      <c r="G112" t="n">
        <v>13</v>
      </c>
      <c r="H112" t="inlineStr">
        <is>
          <t>Unidad</t>
        </is>
      </c>
      <c r="I112" t="inlineStr">
        <is>
          <t>PROVEEDOR</t>
        </is>
      </c>
      <c r="J112" t="inlineStr">
        <is>
          <t>CDS</t>
        </is>
      </c>
      <c r="K112" t="inlineStr">
        <is>
          <t>NUEVO / INICIAL</t>
        </is>
      </c>
      <c r="L112" t="inlineStr">
        <is>
          <t>A3</t>
        </is>
      </c>
      <c r="M112" t="inlineStr">
        <is>
          <t>Operacion Central</t>
        </is>
      </c>
      <c r="N112" t="inlineStr">
        <is>
          <t>Administrador CDS</t>
        </is>
      </c>
      <c r="O112" t="inlineStr">
        <is>
          <t>Recepción Almacén</t>
        </is>
      </c>
      <c r="P112" t="inlineStr">
        <is>
          <t>CARGUE-INICIAL-EXCEL</t>
        </is>
      </c>
    </row>
    <row r="113">
      <c r="A113" t="inlineStr">
        <is>
          <t>MOV-00110</t>
        </is>
      </c>
      <c r="B113" s="59" t="n">
        <v>46264</v>
      </c>
      <c r="C113" s="4" t="n">
        <v>0.3333333333333333</v>
      </c>
      <c r="D113" t="inlineStr">
        <is>
          <t>ENTRADA</t>
        </is>
      </c>
      <c r="E113" t="n">
        <v>7785</v>
      </c>
      <c r="F113" t="inlineStr">
        <is>
          <t>CONDULETA LL 2" INTERIOR</t>
        </is>
      </c>
      <c r="G113" t="n">
        <v>6</v>
      </c>
      <c r="H113" t="inlineStr">
        <is>
          <t>Unidad</t>
        </is>
      </c>
      <c r="I113" t="inlineStr">
        <is>
          <t>PROVEEDOR</t>
        </is>
      </c>
      <c r="J113" t="inlineStr">
        <is>
          <t>CDS</t>
        </is>
      </c>
      <c r="K113" t="inlineStr">
        <is>
          <t>NUEVO / INICIAL</t>
        </is>
      </c>
      <c r="L113" t="inlineStr">
        <is>
          <t>A4</t>
        </is>
      </c>
      <c r="M113" t="inlineStr">
        <is>
          <t>Operacion Central</t>
        </is>
      </c>
      <c r="N113" t="inlineStr">
        <is>
          <t>Administrador CDS</t>
        </is>
      </c>
      <c r="O113" t="inlineStr">
        <is>
          <t>Recepción Almacén</t>
        </is>
      </c>
      <c r="P113" t="inlineStr">
        <is>
          <t>CARGUE-INICIAL-EXCEL</t>
        </is>
      </c>
    </row>
    <row r="114">
      <c r="A114" t="inlineStr">
        <is>
          <t>MOV-00111</t>
        </is>
      </c>
      <c r="B114" s="59" t="n">
        <v>46264</v>
      </c>
      <c r="C114" s="4" t="n">
        <v>0.3333333333333333</v>
      </c>
      <c r="D114" t="inlineStr">
        <is>
          <t>ENTRADA</t>
        </is>
      </c>
      <c r="E114" t="n">
        <v>7786</v>
      </c>
      <c r="F114" t="inlineStr">
        <is>
          <t>CONDULETA LL 3/4" INTEMPERIE</t>
        </is>
      </c>
      <c r="G114" t="n">
        <v>37</v>
      </c>
      <c r="H114" t="inlineStr">
        <is>
          <t>Unidad</t>
        </is>
      </c>
      <c r="I114" t="inlineStr">
        <is>
          <t>PROVEEDOR</t>
        </is>
      </c>
      <c r="J114" t="inlineStr">
        <is>
          <t>CDS</t>
        </is>
      </c>
      <c r="K114" t="inlineStr">
        <is>
          <t>NUEVO / INICIAL</t>
        </is>
      </c>
      <c r="L114" t="inlineStr">
        <is>
          <t>A5</t>
        </is>
      </c>
      <c r="M114" t="inlineStr">
        <is>
          <t>Operacion Central</t>
        </is>
      </c>
      <c r="N114" t="inlineStr">
        <is>
          <t>Administrador CDS</t>
        </is>
      </c>
      <c r="O114" t="inlineStr">
        <is>
          <t>Recepción Almacén</t>
        </is>
      </c>
      <c r="P114" t="inlineStr">
        <is>
          <t>CARGUE-INICIAL-EXCEL</t>
        </is>
      </c>
    </row>
    <row r="115">
      <c r="A115" t="inlineStr">
        <is>
          <t>MOV-00112</t>
        </is>
      </c>
      <c r="B115" s="59" t="n">
        <v>46264</v>
      </c>
      <c r="C115" s="4" t="n">
        <v>0.3333333333333333</v>
      </c>
      <c r="D115" t="inlineStr">
        <is>
          <t>ENTRADA</t>
        </is>
      </c>
      <c r="E115" t="n">
        <v>7787</v>
      </c>
      <c r="F115" t="inlineStr">
        <is>
          <t>CONDULETA LL 3/4" INTERIOR</t>
        </is>
      </c>
      <c r="G115" t="n">
        <v>17</v>
      </c>
      <c r="H115" t="inlineStr">
        <is>
          <t>Unidad</t>
        </is>
      </c>
      <c r="I115" t="inlineStr">
        <is>
          <t>PROVEEDOR</t>
        </is>
      </c>
      <c r="J115" t="inlineStr">
        <is>
          <t>CDS</t>
        </is>
      </c>
      <c r="K115" t="inlineStr">
        <is>
          <t>NUEVO / INICIAL</t>
        </is>
      </c>
      <c r="L115" t="inlineStr">
        <is>
          <t>A5</t>
        </is>
      </c>
      <c r="M115" t="inlineStr">
        <is>
          <t>Operacion Central</t>
        </is>
      </c>
      <c r="N115" t="inlineStr">
        <is>
          <t>Administrador CDS</t>
        </is>
      </c>
      <c r="O115" t="inlineStr">
        <is>
          <t>Recepción Almacén</t>
        </is>
      </c>
      <c r="P115" t="inlineStr">
        <is>
          <t>CARGUE-INICIAL-EXCEL</t>
        </is>
      </c>
    </row>
    <row r="116">
      <c r="A116" t="inlineStr">
        <is>
          <t>MOV-00113</t>
        </is>
      </c>
      <c r="B116" s="59" t="n">
        <v>46264</v>
      </c>
      <c r="C116" s="4" t="n">
        <v>0.3333333333333333</v>
      </c>
      <c r="D116" t="inlineStr">
        <is>
          <t>ENTRADA</t>
        </is>
      </c>
      <c r="E116" t="n">
        <v>7788</v>
      </c>
      <c r="F116" t="inlineStr">
        <is>
          <t>CONDULETA LR 1 1/2" INTEMPERIE</t>
        </is>
      </c>
      <c r="G116" t="n">
        <v>3</v>
      </c>
      <c r="H116" t="inlineStr">
        <is>
          <t>Unidad</t>
        </is>
      </c>
      <c r="I116" t="inlineStr">
        <is>
          <t>PROVEEDOR</t>
        </is>
      </c>
      <c r="J116" t="inlineStr">
        <is>
          <t>CDS</t>
        </is>
      </c>
      <c r="K116" t="inlineStr">
        <is>
          <t>NUEVO / INICIAL</t>
        </is>
      </c>
      <c r="L116" t="inlineStr">
        <is>
          <t>A5</t>
        </is>
      </c>
      <c r="M116" t="inlineStr">
        <is>
          <t>Operacion Central</t>
        </is>
      </c>
      <c r="N116" t="inlineStr">
        <is>
          <t>Administrador CDS</t>
        </is>
      </c>
      <c r="O116" t="inlineStr">
        <is>
          <t>Recepción Almacén</t>
        </is>
      </c>
      <c r="P116" t="inlineStr">
        <is>
          <t>CARGUE-INICIAL-EXCEL</t>
        </is>
      </c>
    </row>
    <row r="117">
      <c r="A117" t="inlineStr">
        <is>
          <t>MOV-00114</t>
        </is>
      </c>
      <c r="B117" s="59" t="n">
        <v>46264</v>
      </c>
      <c r="C117" s="4" t="n">
        <v>0.3333333333333333</v>
      </c>
      <c r="D117" t="inlineStr">
        <is>
          <t>ENTRADA</t>
        </is>
      </c>
      <c r="E117" t="n">
        <v>7789</v>
      </c>
      <c r="F117" t="inlineStr">
        <is>
          <t>CONDULETA LR 1 1/2" INTERIOR</t>
        </is>
      </c>
      <c r="G117" t="n">
        <v>2</v>
      </c>
      <c r="H117" t="inlineStr">
        <is>
          <t>Unidad</t>
        </is>
      </c>
      <c r="I117" t="inlineStr">
        <is>
          <t>PROVEEDOR</t>
        </is>
      </c>
      <c r="J117" t="inlineStr">
        <is>
          <t>CDS</t>
        </is>
      </c>
      <c r="K117" t="inlineStr">
        <is>
          <t>NUEVO / INICIAL</t>
        </is>
      </c>
      <c r="L117" t="inlineStr">
        <is>
          <t>A4</t>
        </is>
      </c>
      <c r="M117" t="inlineStr">
        <is>
          <t>Operacion Central</t>
        </is>
      </c>
      <c r="N117" t="inlineStr">
        <is>
          <t>Administrador CDS</t>
        </is>
      </c>
      <c r="O117" t="inlineStr">
        <is>
          <t>Recepción Almacén</t>
        </is>
      </c>
      <c r="P117" t="inlineStr">
        <is>
          <t>CARGUE-INICIAL-EXCEL</t>
        </is>
      </c>
    </row>
    <row r="118">
      <c r="A118" t="inlineStr">
        <is>
          <t>MOV-00115</t>
        </is>
      </c>
      <c r="B118" s="59" t="n">
        <v>46264</v>
      </c>
      <c r="C118" s="4" t="n">
        <v>0.3333333333333333</v>
      </c>
      <c r="D118" t="inlineStr">
        <is>
          <t>ENTRADA</t>
        </is>
      </c>
      <c r="E118" t="n">
        <v>7790</v>
      </c>
      <c r="F118" t="inlineStr">
        <is>
          <t>CONDULETA LR 1 1/4" INTEMPERIE</t>
        </is>
      </c>
      <c r="G118" t="n">
        <v>1</v>
      </c>
      <c r="H118" t="inlineStr">
        <is>
          <t>Unidad</t>
        </is>
      </c>
      <c r="I118" t="inlineStr">
        <is>
          <t>PROVEEDOR</t>
        </is>
      </c>
      <c r="J118" t="inlineStr">
        <is>
          <t>CDS</t>
        </is>
      </c>
      <c r="K118" t="inlineStr">
        <is>
          <t>NUEVO / INICIAL</t>
        </is>
      </c>
      <c r="L118" t="inlineStr">
        <is>
          <t>A5</t>
        </is>
      </c>
      <c r="M118" t="inlineStr">
        <is>
          <t>Operacion Central</t>
        </is>
      </c>
      <c r="N118" t="inlineStr">
        <is>
          <t>Administrador CDS</t>
        </is>
      </c>
      <c r="O118" t="inlineStr">
        <is>
          <t>Recepción Almacén</t>
        </is>
      </c>
      <c r="P118" t="inlineStr">
        <is>
          <t>CARGUE-INICIAL-EXCEL</t>
        </is>
      </c>
    </row>
    <row r="119">
      <c r="A119" t="inlineStr">
        <is>
          <t>MOV-00116</t>
        </is>
      </c>
      <c r="B119" s="59" t="n">
        <v>46264</v>
      </c>
      <c r="C119" s="4" t="n">
        <v>0.3333333333333333</v>
      </c>
      <c r="D119" t="inlineStr">
        <is>
          <t>ENTRADA</t>
        </is>
      </c>
      <c r="E119" t="n">
        <v>7792</v>
      </c>
      <c r="F119" t="inlineStr">
        <is>
          <t>CONDULETA LR 1" INTEMPERIE</t>
        </is>
      </c>
      <c r="G119" t="n">
        <v>18</v>
      </c>
      <c r="H119" t="inlineStr">
        <is>
          <t>Unidad</t>
        </is>
      </c>
      <c r="I119" t="inlineStr">
        <is>
          <t>PROVEEDOR</t>
        </is>
      </c>
      <c r="J119" t="inlineStr">
        <is>
          <t>CDS</t>
        </is>
      </c>
      <c r="K119" t="inlineStr">
        <is>
          <t>NUEVO / INICIAL</t>
        </is>
      </c>
      <c r="L119" t="inlineStr">
        <is>
          <t>A5</t>
        </is>
      </c>
      <c r="M119" t="inlineStr">
        <is>
          <t>Operacion Central</t>
        </is>
      </c>
      <c r="N119" t="inlineStr">
        <is>
          <t>Administrador CDS</t>
        </is>
      </c>
      <c r="O119" t="inlineStr">
        <is>
          <t>Recepción Almacén</t>
        </is>
      </c>
      <c r="P119" t="inlineStr">
        <is>
          <t>CARGUE-INICIAL-EXCEL</t>
        </is>
      </c>
    </row>
    <row r="120">
      <c r="A120" t="inlineStr">
        <is>
          <t>MOV-00117</t>
        </is>
      </c>
      <c r="B120" s="59" t="n">
        <v>46264</v>
      </c>
      <c r="C120" s="4" t="n">
        <v>0.3333333333333333</v>
      </c>
      <c r="D120" t="inlineStr">
        <is>
          <t>ENTRADA</t>
        </is>
      </c>
      <c r="E120" t="n">
        <v>7793</v>
      </c>
      <c r="F120" t="inlineStr">
        <is>
          <t>CONDULETA LR 1" INTERIOR</t>
        </is>
      </c>
      <c r="G120" t="n">
        <v>3</v>
      </c>
      <c r="H120" t="inlineStr">
        <is>
          <t>Unidad</t>
        </is>
      </c>
      <c r="I120" t="inlineStr">
        <is>
          <t>PROVEEDOR</t>
        </is>
      </c>
      <c r="J120" t="inlineStr">
        <is>
          <t>CDS</t>
        </is>
      </c>
      <c r="K120" t="inlineStr">
        <is>
          <t>NUEVO / INICIAL</t>
        </is>
      </c>
      <c r="L120" t="inlineStr">
        <is>
          <t>A4</t>
        </is>
      </c>
      <c r="M120" t="inlineStr">
        <is>
          <t>Operacion Central</t>
        </is>
      </c>
      <c r="N120" t="inlineStr">
        <is>
          <t>Administrador CDS</t>
        </is>
      </c>
      <c r="O120" t="inlineStr">
        <is>
          <t>Recepción Almacén</t>
        </is>
      </c>
      <c r="P120" t="inlineStr">
        <is>
          <t>CARGUE-INICIAL-EXCEL</t>
        </is>
      </c>
    </row>
    <row r="121">
      <c r="A121" t="inlineStr">
        <is>
          <t>MOV-00118</t>
        </is>
      </c>
      <c r="B121" s="59" t="n">
        <v>46264</v>
      </c>
      <c r="C121" s="4" t="n">
        <v>0.3333333333333333</v>
      </c>
      <c r="D121" t="inlineStr">
        <is>
          <t>ENTRADA</t>
        </is>
      </c>
      <c r="E121" t="n">
        <v>7795</v>
      </c>
      <c r="F121" t="inlineStr">
        <is>
          <t>CONDULETA LR 1/2" INTERIOR</t>
        </is>
      </c>
      <c r="G121" t="n">
        <v>1</v>
      </c>
      <c r="H121" t="inlineStr">
        <is>
          <t>Unidad</t>
        </is>
      </c>
      <c r="I121" t="inlineStr">
        <is>
          <t>PROVEEDOR</t>
        </is>
      </c>
      <c r="J121" t="inlineStr">
        <is>
          <t>CDS</t>
        </is>
      </c>
      <c r="K121" t="inlineStr">
        <is>
          <t>NUEVO / INICIAL</t>
        </is>
      </c>
      <c r="L121" t="inlineStr">
        <is>
          <t>A5</t>
        </is>
      </c>
      <c r="M121" t="inlineStr">
        <is>
          <t>Operacion Central</t>
        </is>
      </c>
      <c r="N121" t="inlineStr">
        <is>
          <t>Administrador CDS</t>
        </is>
      </c>
      <c r="O121" t="inlineStr">
        <is>
          <t>Recepción Almacén</t>
        </is>
      </c>
      <c r="P121" t="inlineStr">
        <is>
          <t>CARGUE-INICIAL-EXCEL</t>
        </is>
      </c>
    </row>
    <row r="122">
      <c r="A122" t="inlineStr">
        <is>
          <t>MOV-00119</t>
        </is>
      </c>
      <c r="B122" s="59" t="n">
        <v>46264</v>
      </c>
      <c r="C122" s="4" t="n">
        <v>0.3333333333333333</v>
      </c>
      <c r="D122" t="inlineStr">
        <is>
          <t>ENTRADA</t>
        </is>
      </c>
      <c r="E122" t="n">
        <v>7797</v>
      </c>
      <c r="F122" t="inlineStr">
        <is>
          <t>CONDULETA LR 2" INTERIOR</t>
        </is>
      </c>
      <c r="G122" t="n">
        <v>5</v>
      </c>
      <c r="H122" t="inlineStr">
        <is>
          <t>Unidad</t>
        </is>
      </c>
      <c r="I122" t="inlineStr">
        <is>
          <t>PROVEEDOR</t>
        </is>
      </c>
      <c r="J122" t="inlineStr">
        <is>
          <t>CDS</t>
        </is>
      </c>
      <c r="K122" t="inlineStr">
        <is>
          <t>NUEVO / INICIAL</t>
        </is>
      </c>
      <c r="L122" t="inlineStr">
        <is>
          <t>A4</t>
        </is>
      </c>
      <c r="M122" t="inlineStr">
        <is>
          <t>Operacion Central</t>
        </is>
      </c>
      <c r="N122" t="inlineStr">
        <is>
          <t>Administrador CDS</t>
        </is>
      </c>
      <c r="O122" t="inlineStr">
        <is>
          <t>Recepción Almacén</t>
        </is>
      </c>
      <c r="P122" t="inlineStr">
        <is>
          <t>CARGUE-INICIAL-EXCEL</t>
        </is>
      </c>
    </row>
    <row r="123">
      <c r="A123" t="inlineStr">
        <is>
          <t>MOV-00120</t>
        </is>
      </c>
      <c r="B123" s="59" t="n">
        <v>46264</v>
      </c>
      <c r="C123" s="4" t="n">
        <v>0.3333333333333333</v>
      </c>
      <c r="D123" t="inlineStr">
        <is>
          <t>ENTRADA</t>
        </is>
      </c>
      <c r="E123" t="n">
        <v>7798</v>
      </c>
      <c r="F123" t="inlineStr">
        <is>
          <t>CONDULETA LR 3/4" INTEMPERIE</t>
        </is>
      </c>
      <c r="G123" t="n">
        <v>3</v>
      </c>
      <c r="H123" t="inlineStr">
        <is>
          <t>Unidad</t>
        </is>
      </c>
      <c r="I123" t="inlineStr">
        <is>
          <t>PROVEEDOR</t>
        </is>
      </c>
      <c r="J123" t="inlineStr">
        <is>
          <t>CDS</t>
        </is>
      </c>
      <c r="K123" t="inlineStr">
        <is>
          <t>NUEVO / INICIAL</t>
        </is>
      </c>
      <c r="L123" t="inlineStr">
        <is>
          <t>A5</t>
        </is>
      </c>
      <c r="M123" t="inlineStr">
        <is>
          <t>Operacion Central</t>
        </is>
      </c>
      <c r="N123" t="inlineStr">
        <is>
          <t>Administrador CDS</t>
        </is>
      </c>
      <c r="O123" t="inlineStr">
        <is>
          <t>Recepción Almacén</t>
        </is>
      </c>
      <c r="P123" t="inlineStr">
        <is>
          <t>CARGUE-INICIAL-EXCEL</t>
        </is>
      </c>
    </row>
    <row r="124">
      <c r="A124" t="inlineStr">
        <is>
          <t>MOV-00121</t>
        </is>
      </c>
      <c r="B124" s="59" t="n">
        <v>46264</v>
      </c>
      <c r="C124" s="4" t="n">
        <v>0.3333333333333333</v>
      </c>
      <c r="D124" t="inlineStr">
        <is>
          <t>ENTRADA</t>
        </is>
      </c>
      <c r="E124" t="n">
        <v>7799</v>
      </c>
      <c r="F124" t="inlineStr">
        <is>
          <t>CONDULETA LR 3/4" INTERIOR</t>
        </is>
      </c>
      <c r="G124" t="n">
        <v>41</v>
      </c>
      <c r="H124" t="inlineStr">
        <is>
          <t>Unidad</t>
        </is>
      </c>
      <c r="I124" t="inlineStr">
        <is>
          <t>PROVEEDOR</t>
        </is>
      </c>
      <c r="J124" t="inlineStr">
        <is>
          <t>CDS</t>
        </is>
      </c>
      <c r="K124" t="inlineStr">
        <is>
          <t>NUEVO / INICIAL</t>
        </is>
      </c>
      <c r="L124" t="inlineStr">
        <is>
          <t>A4</t>
        </is>
      </c>
      <c r="M124" t="inlineStr">
        <is>
          <t>Operacion Central</t>
        </is>
      </c>
      <c r="N124" t="inlineStr">
        <is>
          <t>Administrador CDS</t>
        </is>
      </c>
      <c r="O124" t="inlineStr">
        <is>
          <t>Recepción Almacén</t>
        </is>
      </c>
      <c r="P124" t="inlineStr">
        <is>
          <t>CARGUE-INICIAL-EXCEL</t>
        </is>
      </c>
    </row>
    <row r="125">
      <c r="A125" t="inlineStr">
        <is>
          <t>MOV-00122</t>
        </is>
      </c>
      <c r="B125" s="59" t="n">
        <v>46264</v>
      </c>
      <c r="C125" s="4" t="n">
        <v>0.3333333333333333</v>
      </c>
      <c r="D125" t="inlineStr">
        <is>
          <t>ENTRADA</t>
        </is>
      </c>
      <c r="E125" t="n">
        <v>7800</v>
      </c>
      <c r="F125" t="inlineStr">
        <is>
          <t>CONDULETA T 1 1/2" INTEMPERIE</t>
        </is>
      </c>
      <c r="G125" t="n">
        <v>1</v>
      </c>
      <c r="H125" t="inlineStr">
        <is>
          <t>Unidad</t>
        </is>
      </c>
      <c r="I125" t="inlineStr">
        <is>
          <t>PROVEEDOR</t>
        </is>
      </c>
      <c r="J125" t="inlineStr">
        <is>
          <t>CDS</t>
        </is>
      </c>
      <c r="K125" t="inlineStr">
        <is>
          <t>NUEVO / INICIAL</t>
        </is>
      </c>
      <c r="L125" t="inlineStr">
        <is>
          <t>A5</t>
        </is>
      </c>
      <c r="M125" t="inlineStr">
        <is>
          <t>Operacion Central</t>
        </is>
      </c>
      <c r="N125" t="inlineStr">
        <is>
          <t>Administrador CDS</t>
        </is>
      </c>
      <c r="O125" t="inlineStr">
        <is>
          <t>Recepción Almacén</t>
        </is>
      </c>
      <c r="P125" t="inlineStr">
        <is>
          <t>CARGUE-INICIAL-EXCEL</t>
        </is>
      </c>
    </row>
    <row r="126">
      <c r="A126" t="inlineStr">
        <is>
          <t>MOV-00123</t>
        </is>
      </c>
      <c r="B126" s="59" t="n">
        <v>46264</v>
      </c>
      <c r="C126" s="4" t="n">
        <v>0.3333333333333333</v>
      </c>
      <c r="D126" t="inlineStr">
        <is>
          <t>ENTRADA</t>
        </is>
      </c>
      <c r="E126" t="n">
        <v>7804</v>
      </c>
      <c r="F126" t="inlineStr">
        <is>
          <t>CONDULETA T 1" INTEMPERIE</t>
        </is>
      </c>
      <c r="G126" t="n">
        <v>8</v>
      </c>
      <c r="H126" t="inlineStr">
        <is>
          <t>Unidad</t>
        </is>
      </c>
      <c r="I126" t="inlineStr">
        <is>
          <t>PROVEEDOR</t>
        </is>
      </c>
      <c r="J126" t="inlineStr">
        <is>
          <t>CDS</t>
        </is>
      </c>
      <c r="K126" t="inlineStr">
        <is>
          <t>NUEVO / INICIAL</t>
        </is>
      </c>
      <c r="L126" t="inlineStr">
        <is>
          <t>A4</t>
        </is>
      </c>
      <c r="M126" t="inlineStr">
        <is>
          <t>Operacion Central</t>
        </is>
      </c>
      <c r="N126" t="inlineStr">
        <is>
          <t>Administrador CDS</t>
        </is>
      </c>
      <c r="O126" t="inlineStr">
        <is>
          <t>Recepción Almacén</t>
        </is>
      </c>
      <c r="P126" t="inlineStr">
        <is>
          <t>CARGUE-INICIAL-EXCEL</t>
        </is>
      </c>
    </row>
    <row r="127">
      <c r="A127" t="inlineStr">
        <is>
          <t>MOV-00124</t>
        </is>
      </c>
      <c r="B127" s="59" t="n">
        <v>46264</v>
      </c>
      <c r="C127" s="4" t="n">
        <v>0.3333333333333333</v>
      </c>
      <c r="D127" t="inlineStr">
        <is>
          <t>ENTRADA</t>
        </is>
      </c>
      <c r="E127" t="n">
        <v>7807</v>
      </c>
      <c r="F127" t="inlineStr">
        <is>
          <t>CONDULETA T 1/2" INTERIOR</t>
        </is>
      </c>
      <c r="G127" t="n">
        <v>2</v>
      </c>
      <c r="H127" t="inlineStr">
        <is>
          <t>Unidad</t>
        </is>
      </c>
      <c r="I127" t="inlineStr">
        <is>
          <t>PROVEEDOR</t>
        </is>
      </c>
      <c r="J127" t="inlineStr">
        <is>
          <t>CDS</t>
        </is>
      </c>
      <c r="K127" t="inlineStr">
        <is>
          <t>NUEVO / INICIAL</t>
        </is>
      </c>
      <c r="L127" t="inlineStr">
        <is>
          <t>A5</t>
        </is>
      </c>
      <c r="M127" t="inlineStr">
        <is>
          <t>Operacion Central</t>
        </is>
      </c>
      <c r="N127" t="inlineStr">
        <is>
          <t>Administrador CDS</t>
        </is>
      </c>
      <c r="O127" t="inlineStr">
        <is>
          <t>Recepción Almacén</t>
        </is>
      </c>
      <c r="P127" t="inlineStr">
        <is>
          <t>CARGUE-INICIAL-EXCEL</t>
        </is>
      </c>
    </row>
    <row r="128">
      <c r="A128" t="inlineStr">
        <is>
          <t>MOV-00125</t>
        </is>
      </c>
      <c r="B128" s="59" t="n">
        <v>46264</v>
      </c>
      <c r="C128" s="4" t="n">
        <v>0.3333333333333333</v>
      </c>
      <c r="D128" t="inlineStr">
        <is>
          <t>ENTRADA</t>
        </is>
      </c>
      <c r="E128" t="n">
        <v>8373</v>
      </c>
      <c r="F128" t="inlineStr">
        <is>
          <t>ABRAZADERA AJUSTABLE (UNISTRUT) INTERIOR 3"</t>
        </is>
      </c>
      <c r="G128" t="n">
        <v>8</v>
      </c>
      <c r="H128" t="inlineStr">
        <is>
          <t>Unidad</t>
        </is>
      </c>
      <c r="I128" t="inlineStr">
        <is>
          <t>PROVEEDOR</t>
        </is>
      </c>
      <c r="J128" t="inlineStr">
        <is>
          <t>CDS</t>
        </is>
      </c>
      <c r="K128" t="inlineStr">
        <is>
          <t>NUEVO / INICIAL</t>
        </is>
      </c>
      <c r="L128" t="inlineStr">
        <is>
          <t>A3</t>
        </is>
      </c>
      <c r="M128" t="inlineStr">
        <is>
          <t>Operacion Central</t>
        </is>
      </c>
      <c r="N128" t="inlineStr">
        <is>
          <t>Administrador CDS</t>
        </is>
      </c>
      <c r="O128" t="inlineStr">
        <is>
          <t>Recepción Almacén</t>
        </is>
      </c>
      <c r="P128" t="inlineStr">
        <is>
          <t>CARGUE-INICIAL-EXCEL</t>
        </is>
      </c>
    </row>
    <row r="129">
      <c r="A129" t="inlineStr">
        <is>
          <t>MOV-00126</t>
        </is>
      </c>
      <c r="B129" s="59" t="n">
        <v>46264</v>
      </c>
      <c r="C129" s="4" t="n">
        <v>0.3333333333333333</v>
      </c>
      <c r="D129" t="inlineStr">
        <is>
          <t>ENTRADA</t>
        </is>
      </c>
      <c r="E129" t="n">
        <v>8737</v>
      </c>
      <c r="F129" t="inlineStr">
        <is>
          <t>AEROSOL ANTICORROSIVO RUST OLEUM GALVANIZADO MATE - 12 OZ</t>
        </is>
      </c>
      <c r="G129" t="n">
        <v>29</v>
      </c>
      <c r="H129" t="inlineStr">
        <is>
          <t>Unidad</t>
        </is>
      </c>
      <c r="I129" t="inlineStr">
        <is>
          <t>PROVEEDOR</t>
        </is>
      </c>
      <c r="J129" t="inlineStr">
        <is>
          <t>CDS</t>
        </is>
      </c>
      <c r="K129" t="inlineStr">
        <is>
          <t>NUEVO / INICIAL</t>
        </is>
      </c>
      <c r="L129" t="inlineStr">
        <is>
          <t>A2</t>
        </is>
      </c>
      <c r="M129" t="inlineStr">
        <is>
          <t>Operacion Central</t>
        </is>
      </c>
      <c r="N129" t="inlineStr">
        <is>
          <t>Administrador CDS</t>
        </is>
      </c>
      <c r="O129" t="inlineStr">
        <is>
          <t>Recepción Almacén</t>
        </is>
      </c>
      <c r="P129" t="inlineStr">
        <is>
          <t>CARGUE-INICIAL-EXCEL</t>
        </is>
      </c>
    </row>
    <row r="130">
      <c r="A130" t="inlineStr">
        <is>
          <t>MOV-00127</t>
        </is>
      </c>
      <c r="B130" s="59" t="n">
        <v>46264</v>
      </c>
      <c r="C130" s="4" t="n">
        <v>0.3333333333333333</v>
      </c>
      <c r="D130" t="inlineStr">
        <is>
          <t>ENTRADA</t>
        </is>
      </c>
      <c r="E130" t="n">
        <v>8793</v>
      </c>
      <c r="F130" t="inlineStr">
        <is>
          <t>CONDULETA LB 3" INTEMPERIE</t>
        </is>
      </c>
      <c r="G130" t="n">
        <v>16</v>
      </c>
      <c r="H130" t="inlineStr">
        <is>
          <t>Unidad</t>
        </is>
      </c>
      <c r="I130" t="inlineStr">
        <is>
          <t>PROVEEDOR</t>
        </is>
      </c>
      <c r="J130" t="inlineStr">
        <is>
          <t>CDS</t>
        </is>
      </c>
      <c r="K130" t="inlineStr">
        <is>
          <t>NUEVO / INICIAL</t>
        </is>
      </c>
      <c r="L130" t="inlineStr">
        <is>
          <t>A4</t>
        </is>
      </c>
      <c r="M130" t="inlineStr">
        <is>
          <t>Operacion Central</t>
        </is>
      </c>
      <c r="N130" t="inlineStr">
        <is>
          <t>Administrador CDS</t>
        </is>
      </c>
      <c r="O130" t="inlineStr">
        <is>
          <t>Recepción Almacén</t>
        </is>
      </c>
      <c r="P130" t="inlineStr">
        <is>
          <t>CARGUE-INICIAL-EXCEL</t>
        </is>
      </c>
    </row>
    <row r="131">
      <c r="A131" t="inlineStr">
        <is>
          <t>MOV-00128</t>
        </is>
      </c>
      <c r="B131" s="59" t="n">
        <v>46264</v>
      </c>
      <c r="C131" s="4" t="n">
        <v>0.3333333333333333</v>
      </c>
      <c r="D131" t="inlineStr">
        <is>
          <t>ENTRADA</t>
        </is>
      </c>
      <c r="E131" t="n">
        <v>9282</v>
      </c>
      <c r="F131" t="inlineStr">
        <is>
          <t>AEROSOL ANTICORROSIVO GALVANIZADO 12 OZ RUST OLEUM</t>
        </is>
      </c>
      <c r="G131" t="n">
        <v>24</v>
      </c>
      <c r="H131" t="inlineStr">
        <is>
          <t>Unidad</t>
        </is>
      </c>
      <c r="I131" t="inlineStr">
        <is>
          <t>PROVEEDOR</t>
        </is>
      </c>
      <c r="J131" t="inlineStr">
        <is>
          <t>CDS</t>
        </is>
      </c>
      <c r="K131" t="inlineStr">
        <is>
          <t>NUEVO / INICIAL</t>
        </is>
      </c>
      <c r="L131" t="inlineStr">
        <is>
          <t>A2</t>
        </is>
      </c>
      <c r="M131" t="inlineStr">
        <is>
          <t>Operacion Central</t>
        </is>
      </c>
      <c r="N131" t="inlineStr">
        <is>
          <t>Administrador CDS</t>
        </is>
      </c>
      <c r="O131" t="inlineStr">
        <is>
          <t>Recepción Almacén</t>
        </is>
      </c>
      <c r="P131" t="inlineStr">
        <is>
          <t>CARGUE-INICIAL-EXCEL</t>
        </is>
      </c>
    </row>
    <row r="132">
      <c r="A132" t="inlineStr">
        <is>
          <t>MOV-00129</t>
        </is>
      </c>
      <c r="B132" s="59" t="n">
        <v>46264</v>
      </c>
      <c r="C132" s="4" t="n">
        <v>0.3333333333333333</v>
      </c>
      <c r="D132" t="inlineStr">
        <is>
          <t>ENTRADA</t>
        </is>
      </c>
      <c r="E132" t="n">
        <v>9283</v>
      </c>
      <c r="F132" t="inlineStr">
        <is>
          <t>AEROSOL NARANJA PINTUCO</t>
        </is>
      </c>
      <c r="G132" t="n">
        <v>20</v>
      </c>
      <c r="H132" t="inlineStr">
        <is>
          <t>Unidad</t>
        </is>
      </c>
      <c r="I132" t="inlineStr">
        <is>
          <t>PROVEEDOR</t>
        </is>
      </c>
      <c r="J132" t="inlineStr">
        <is>
          <t>CDS</t>
        </is>
      </c>
      <c r="K132" t="inlineStr">
        <is>
          <t>NUEVO / INICIAL</t>
        </is>
      </c>
      <c r="L132" t="inlineStr">
        <is>
          <t>-</t>
        </is>
      </c>
      <c r="M132" t="inlineStr">
        <is>
          <t>Operacion Central</t>
        </is>
      </c>
      <c r="N132" t="inlineStr">
        <is>
          <t>Administrador CDS</t>
        </is>
      </c>
      <c r="O132" t="inlineStr">
        <is>
          <t>Recepción Almacén</t>
        </is>
      </c>
      <c r="P132" t="inlineStr">
        <is>
          <t>CARGUE-INICIAL-EXCEL</t>
        </is>
      </c>
    </row>
    <row r="133">
      <c r="A133" t="inlineStr">
        <is>
          <t>MOV-00130</t>
        </is>
      </c>
      <c r="B133" s="59" t="n">
        <v>46264</v>
      </c>
      <c r="C133" s="4" t="n">
        <v>0.3333333333333333</v>
      </c>
      <c r="D133" t="inlineStr">
        <is>
          <t>ENTRADA</t>
        </is>
      </c>
      <c r="E133" t="n">
        <v>9327</v>
      </c>
      <c r="F133" t="inlineStr">
        <is>
          <t>ABRAZADERA AJUSTABLE (UNISTRUT) GALVANIZADA CALIENTE 3"</t>
        </is>
      </c>
      <c r="G133" t="n">
        <v>18</v>
      </c>
      <c r="H133" t="inlineStr">
        <is>
          <t>Unidad</t>
        </is>
      </c>
      <c r="I133" t="inlineStr">
        <is>
          <t>PROVEEDOR</t>
        </is>
      </c>
      <c r="J133" t="inlineStr">
        <is>
          <t>CDS</t>
        </is>
      </c>
      <c r="K133" t="inlineStr">
        <is>
          <t>NUEVO / INICIAL</t>
        </is>
      </c>
      <c r="L133" t="inlineStr">
        <is>
          <t>A3</t>
        </is>
      </c>
      <c r="M133" t="inlineStr">
        <is>
          <t>Operacion Central</t>
        </is>
      </c>
      <c r="N133" t="inlineStr">
        <is>
          <t>Administrador CDS</t>
        </is>
      </c>
      <c r="O133" t="inlineStr">
        <is>
          <t>Recepción Almacén</t>
        </is>
      </c>
      <c r="P133" t="inlineStr">
        <is>
          <t>CARGUE-INICIAL-EXCEL</t>
        </is>
      </c>
    </row>
    <row r="134">
      <c r="A134" t="inlineStr">
        <is>
          <t>MOV-00131</t>
        </is>
      </c>
      <c r="B134" s="59" t="n">
        <v>46264</v>
      </c>
      <c r="C134" s="4" t="n">
        <v>0.3333333333333333</v>
      </c>
      <c r="D134" t="inlineStr">
        <is>
          <t>ENTRADA</t>
        </is>
      </c>
      <c r="E134" t="n">
        <v>9328</v>
      </c>
      <c r="F134" t="inlineStr">
        <is>
          <t>ABRAZADERA COLGANTE (IMC/CORAZA) PARA EXTERIOR 3"</t>
        </is>
      </c>
      <c r="G134" t="n">
        <v>1</v>
      </c>
      <c r="H134" t="inlineStr">
        <is>
          <t>Unidad</t>
        </is>
      </c>
      <c r="I134" t="inlineStr">
        <is>
          <t>PROVEEDOR</t>
        </is>
      </c>
      <c r="J134" t="inlineStr">
        <is>
          <t>CDS</t>
        </is>
      </c>
      <c r="K134" t="inlineStr">
        <is>
          <t>NUEVO / INICIAL</t>
        </is>
      </c>
      <c r="L134" t="inlineStr">
        <is>
          <t>A3</t>
        </is>
      </c>
      <c r="M134" t="inlineStr">
        <is>
          <t>Operacion Central</t>
        </is>
      </c>
      <c r="N134" t="inlineStr">
        <is>
          <t>Administrador CDS</t>
        </is>
      </c>
      <c r="O134" t="inlineStr">
        <is>
          <t>Recepción Almacén</t>
        </is>
      </c>
      <c r="P134" t="inlineStr">
        <is>
          <t>CARGUE-INICIAL-EXCEL</t>
        </is>
      </c>
    </row>
    <row r="135">
      <c r="A135" t="inlineStr">
        <is>
          <t>MOV-00132</t>
        </is>
      </c>
      <c r="B135" s="59" t="n">
        <v>46264</v>
      </c>
      <c r="C135" s="4" t="n">
        <v>0.3333333333333333</v>
      </c>
      <c r="D135" t="inlineStr">
        <is>
          <t>ENTRADA</t>
        </is>
      </c>
      <c r="E135" t="n">
        <v>9339</v>
      </c>
      <c r="F135" t="inlineStr">
        <is>
          <t>CONDULETA LB 3" INTERIOR</t>
        </is>
      </c>
      <c r="G135" t="n">
        <v>1</v>
      </c>
      <c r="H135" t="inlineStr">
        <is>
          <t>Unidad</t>
        </is>
      </c>
      <c r="I135" t="inlineStr">
        <is>
          <t>PROVEEDOR</t>
        </is>
      </c>
      <c r="J135" t="inlineStr">
        <is>
          <t>CDS</t>
        </is>
      </c>
      <c r="K135" t="inlineStr">
        <is>
          <t>NUEVO / INICIAL</t>
        </is>
      </c>
      <c r="L135" t="inlineStr">
        <is>
          <t>A5</t>
        </is>
      </c>
      <c r="M135" t="inlineStr">
        <is>
          <t>Operacion Central</t>
        </is>
      </c>
      <c r="N135" t="inlineStr">
        <is>
          <t>Administrador CDS</t>
        </is>
      </c>
      <c r="O135" t="inlineStr">
        <is>
          <t>Recepción Almacén</t>
        </is>
      </c>
      <c r="P135" t="inlineStr">
        <is>
          <t>CARGUE-INICIAL-EXCEL</t>
        </is>
      </c>
    </row>
    <row r="136">
      <c r="A136" t="inlineStr">
        <is>
          <t>MOV-00133</t>
        </is>
      </c>
      <c r="B136" s="59" t="n">
        <v>46264</v>
      </c>
      <c r="C136" s="4" t="n">
        <v>0.3333333333333333</v>
      </c>
      <c r="D136" t="inlineStr">
        <is>
          <t>ENTRADA</t>
        </is>
      </c>
      <c r="E136" t="n">
        <v>10087</v>
      </c>
      <c r="F136" t="inlineStr">
        <is>
          <t>TABLERO DE DISTRIBUCIÓN RESIDENCIAL SOBREPONER IP41 4 MÓDULOS DIN</t>
        </is>
      </c>
      <c r="G136" t="n">
        <v>1</v>
      </c>
      <c r="H136" t="inlineStr">
        <is>
          <t>Unidad</t>
        </is>
      </c>
      <c r="I136" t="inlineStr">
        <is>
          <t>PROVEEDOR</t>
        </is>
      </c>
      <c r="J136" t="inlineStr">
        <is>
          <t>CDS</t>
        </is>
      </c>
      <c r="K136" t="inlineStr">
        <is>
          <t>NUEVO / INICIAL</t>
        </is>
      </c>
      <c r="L136" t="inlineStr">
        <is>
          <t>B2</t>
        </is>
      </c>
      <c r="M136" t="inlineStr">
        <is>
          <t>Operacion Central</t>
        </is>
      </c>
      <c r="N136" t="inlineStr">
        <is>
          <t>Administrador CDS</t>
        </is>
      </c>
      <c r="O136" t="inlineStr">
        <is>
          <t>Recepción Almacén</t>
        </is>
      </c>
      <c r="P136" t="inlineStr">
        <is>
          <t>CARGUE-INICIAL-EXCEL</t>
        </is>
      </c>
    </row>
    <row r="137">
      <c r="A137" t="inlineStr">
        <is>
          <t>MOV-00134</t>
        </is>
      </c>
      <c r="B137" s="59" t="n">
        <v>46264</v>
      </c>
      <c r="C137" s="4" t="n">
        <v>0.3333333333333333</v>
      </c>
      <c r="D137" t="inlineStr">
        <is>
          <t>ENTRADA</t>
        </is>
      </c>
      <c r="E137" t="n">
        <v>15459</v>
      </c>
      <c r="F137" t="inlineStr">
        <is>
          <t>INTERRUPTOR TERMOMAGNÉTICO INDUSTRIAL TRIPOLAR SERIE SUSOL 400-500A (65KA) LS</t>
        </is>
      </c>
      <c r="G137" t="n">
        <v>1</v>
      </c>
      <c r="H137" t="inlineStr">
        <is>
          <t>Unidad</t>
        </is>
      </c>
      <c r="I137" t="inlineStr">
        <is>
          <t>PROVEEDOR</t>
        </is>
      </c>
      <c r="J137" t="inlineStr">
        <is>
          <t>CDS</t>
        </is>
      </c>
      <c r="K137" t="inlineStr">
        <is>
          <t>NUEVO / INICIAL</t>
        </is>
      </c>
      <c r="L137" t="inlineStr">
        <is>
          <t>C2</t>
        </is>
      </c>
      <c r="M137" t="inlineStr">
        <is>
          <t>Operacion Central</t>
        </is>
      </c>
      <c r="N137" t="inlineStr">
        <is>
          <t>Administrador CDS</t>
        </is>
      </c>
      <c r="O137" t="inlineStr">
        <is>
          <t>Recepción Almacén</t>
        </is>
      </c>
      <c r="P137" t="inlineStr">
        <is>
          <t>CARGUE-INICIAL-EXCEL</t>
        </is>
      </c>
    </row>
    <row r="138">
      <c r="A138" t="inlineStr">
        <is>
          <t>MOV-00135</t>
        </is>
      </c>
      <c r="B138" s="59" t="n">
        <v>46264</v>
      </c>
      <c r="C138" s="4" t="n">
        <v>0.3333333333333333</v>
      </c>
      <c r="D138" t="inlineStr">
        <is>
          <t>ENTRADA</t>
        </is>
      </c>
      <c r="E138" t="n">
        <v>17785</v>
      </c>
      <c r="F138" t="inlineStr">
        <is>
          <t>CONDULETA LR 3" INTEMPERIE</t>
        </is>
      </c>
      <c r="G138" t="n">
        <v>1</v>
      </c>
      <c r="H138" t="inlineStr">
        <is>
          <t>Unidad</t>
        </is>
      </c>
      <c r="I138" t="inlineStr">
        <is>
          <t>PROVEEDOR</t>
        </is>
      </c>
      <c r="J138" t="inlineStr">
        <is>
          <t>CDS</t>
        </is>
      </c>
      <c r="K138" t="inlineStr">
        <is>
          <t>NUEVO / INICIAL</t>
        </is>
      </c>
      <c r="L138" t="inlineStr">
        <is>
          <t>A5</t>
        </is>
      </c>
      <c r="M138" t="inlineStr">
        <is>
          <t>Operacion Central</t>
        </is>
      </c>
      <c r="N138" t="inlineStr">
        <is>
          <t>Administrador CDS</t>
        </is>
      </c>
      <c r="O138" t="inlineStr">
        <is>
          <t>Recepción Almacén</t>
        </is>
      </c>
      <c r="P138" t="inlineStr">
        <is>
          <t>CARGUE-INICIAL-EXCEL</t>
        </is>
      </c>
    </row>
    <row r="139">
      <c r="A139" t="inlineStr">
        <is>
          <t>MOV-00136</t>
        </is>
      </c>
      <c r="B139" s="59" t="n">
        <v>46264</v>
      </c>
      <c r="C139" s="4" t="n">
        <v>0.3333333333333333</v>
      </c>
      <c r="D139" t="inlineStr">
        <is>
          <t>ENTRADA</t>
        </is>
      </c>
      <c r="E139" t="n">
        <v>22569</v>
      </c>
      <c r="F139" t="inlineStr">
        <is>
          <t>TABLERO DE DISTRIBUCIÓN RESIDENCIAL SOBREPONER IP41 6 MÓDULOS DIN</t>
        </is>
      </c>
      <c r="G139" t="n">
        <v>4</v>
      </c>
      <c r="H139" t="inlineStr">
        <is>
          <t>Unidad</t>
        </is>
      </c>
      <c r="I139" t="inlineStr">
        <is>
          <t>PROVEEDOR</t>
        </is>
      </c>
      <c r="J139" t="inlineStr">
        <is>
          <t>CDS</t>
        </is>
      </c>
      <c r="K139" t="inlineStr">
        <is>
          <t>NUEVO / INICIAL</t>
        </is>
      </c>
      <c r="L139" t="inlineStr">
        <is>
          <t>B2</t>
        </is>
      </c>
      <c r="M139" t="inlineStr">
        <is>
          <t>Operacion Central</t>
        </is>
      </c>
      <c r="N139" t="inlineStr">
        <is>
          <t>Administrador CDS</t>
        </is>
      </c>
      <c r="O139" t="inlineStr">
        <is>
          <t>Recepción Almacén</t>
        </is>
      </c>
      <c r="P139" t="inlineStr">
        <is>
          <t>CARGUE-INICIAL-EXCEL</t>
        </is>
      </c>
    </row>
    <row r="140">
      <c r="A140" t="inlineStr">
        <is>
          <t>MOV-00137</t>
        </is>
      </c>
      <c r="B140" s="59" t="n">
        <v>46264</v>
      </c>
      <c r="C140" s="4" t="n">
        <v>0.3333333333333333</v>
      </c>
      <c r="D140" t="inlineStr">
        <is>
          <t>ENTRADA</t>
        </is>
      </c>
      <c r="E140" t="n">
        <v>29565</v>
      </c>
      <c r="F140" t="inlineStr">
        <is>
          <t>TORNILLO PUNTA DE AGUJA 9X1 1/2"</t>
        </is>
      </c>
      <c r="G140" t="n">
        <v>392</v>
      </c>
      <c r="H140" t="inlineStr">
        <is>
          <t>Unidad</t>
        </is>
      </c>
      <c r="I140" t="inlineStr">
        <is>
          <t>PROVEEDOR</t>
        </is>
      </c>
      <c r="J140" t="inlineStr">
        <is>
          <t>CDS</t>
        </is>
      </c>
      <c r="K140" t="inlineStr">
        <is>
          <t>NUEVO / INICIAL</t>
        </is>
      </c>
      <c r="L140" t="inlineStr">
        <is>
          <t>T2</t>
        </is>
      </c>
      <c r="M140" t="inlineStr">
        <is>
          <t>Operacion Central</t>
        </is>
      </c>
      <c r="N140" t="inlineStr">
        <is>
          <t>Administrador CDS</t>
        </is>
      </c>
      <c r="O140" t="inlineStr">
        <is>
          <t>Recepción Almacén</t>
        </is>
      </c>
      <c r="P140" t="inlineStr">
        <is>
          <t>CARGUE-INICIAL-EXCEL</t>
        </is>
      </c>
    </row>
    <row r="141">
      <c r="A141" t="inlineStr">
        <is>
          <t>MOV-00138</t>
        </is>
      </c>
      <c r="B141" s="59" t="n">
        <v>46264</v>
      </c>
      <c r="C141" s="4" t="n">
        <v>0.3333333333333333</v>
      </c>
      <c r="D141" t="inlineStr">
        <is>
          <t>ENTRADA</t>
        </is>
      </c>
      <c r="E141" t="n">
        <v>31188</v>
      </c>
      <c r="F141" t="inlineStr">
        <is>
          <t>CAJA RADWELT 4X4 SALIDAS 3/4</t>
        </is>
      </c>
      <c r="G141" t="n">
        <v>16</v>
      </c>
      <c r="H141" t="inlineStr">
        <is>
          <t>Caja</t>
        </is>
      </c>
      <c r="I141" t="inlineStr">
        <is>
          <t>PROVEEDOR</t>
        </is>
      </c>
      <c r="J141" t="inlineStr">
        <is>
          <t>CDS</t>
        </is>
      </c>
      <c r="K141" t="inlineStr">
        <is>
          <t>NUEVO / INICIAL</t>
        </is>
      </c>
      <c r="L141" t="inlineStr">
        <is>
          <t>B2</t>
        </is>
      </c>
      <c r="M141" t="inlineStr">
        <is>
          <t>Operacion Central</t>
        </is>
      </c>
      <c r="N141" t="inlineStr">
        <is>
          <t>Administrador CDS</t>
        </is>
      </c>
      <c r="O141" t="inlineStr">
        <is>
          <t>Recepción Almacén</t>
        </is>
      </c>
      <c r="P141" t="inlineStr">
        <is>
          <t>CARGUE-INICIAL-EXCEL</t>
        </is>
      </c>
    </row>
    <row r="142">
      <c r="A142" t="inlineStr">
        <is>
          <t>MOV-00139</t>
        </is>
      </c>
      <c r="B142" s="59" t="n">
        <v>46264</v>
      </c>
      <c r="C142" s="4" t="n">
        <v>0.3333333333333333</v>
      </c>
      <c r="D142" t="inlineStr">
        <is>
          <t>ENTRADA</t>
        </is>
      </c>
      <c r="E142" t="n">
        <v>31189</v>
      </c>
      <c r="F142" t="inlineStr">
        <is>
          <t>CAJA RADWELT 4X2 SALIDAS 3/4</t>
        </is>
      </c>
      <c r="G142" t="n">
        <v>8</v>
      </c>
      <c r="H142" t="inlineStr">
        <is>
          <t>Caja</t>
        </is>
      </c>
      <c r="I142" t="inlineStr">
        <is>
          <t>PROVEEDOR</t>
        </is>
      </c>
      <c r="J142" t="inlineStr">
        <is>
          <t>CDS</t>
        </is>
      </c>
      <c r="K142" t="inlineStr">
        <is>
          <t>NUEVO / INICIAL</t>
        </is>
      </c>
      <c r="L142" t="inlineStr">
        <is>
          <t>B2</t>
        </is>
      </c>
      <c r="M142" t="inlineStr">
        <is>
          <t>Operacion Central</t>
        </is>
      </c>
      <c r="N142" t="inlineStr">
        <is>
          <t>Administrador CDS</t>
        </is>
      </c>
      <c r="O142" t="inlineStr">
        <is>
          <t>Recepción Almacén</t>
        </is>
      </c>
      <c r="P142" t="inlineStr">
        <is>
          <t>CARGUE-INICIAL-EXCEL</t>
        </is>
      </c>
    </row>
    <row r="143">
      <c r="A143" t="inlineStr">
        <is>
          <t>MOV-00140</t>
        </is>
      </c>
      <c r="B143" s="59" t="n">
        <v>46264</v>
      </c>
      <c r="C143" s="4" t="n">
        <v>0.3333333333333333</v>
      </c>
      <c r="D143" t="inlineStr">
        <is>
          <t>ENTRADA</t>
        </is>
      </c>
      <c r="E143" t="n">
        <v>41285</v>
      </c>
      <c r="F143" t="inlineStr">
        <is>
          <t>INTERRUPTOR TERMOMAGNETICO INDUSTRIAL TRIPOLAR 100A (50KA) LS</t>
        </is>
      </c>
      <c r="G143" t="n">
        <v>1</v>
      </c>
      <c r="H143" t="inlineStr">
        <is>
          <t>Unidad</t>
        </is>
      </c>
      <c r="I143" t="inlineStr">
        <is>
          <t>PROVEEDOR</t>
        </is>
      </c>
      <c r="J143" t="inlineStr">
        <is>
          <t>CDS</t>
        </is>
      </c>
      <c r="K143" t="inlineStr">
        <is>
          <t>NUEVO / INICIAL</t>
        </is>
      </c>
      <c r="L143" t="inlineStr">
        <is>
          <t>C2</t>
        </is>
      </c>
      <c r="M143" t="inlineStr">
        <is>
          <t>Operacion Central</t>
        </is>
      </c>
      <c r="N143" t="inlineStr">
        <is>
          <t>Administrador CDS</t>
        </is>
      </c>
      <c r="O143" t="inlineStr">
        <is>
          <t>Recepción Almacén</t>
        </is>
      </c>
      <c r="P143" t="inlineStr">
        <is>
          <t>CARGUE-INICIAL-EXCEL</t>
        </is>
      </c>
    </row>
    <row r="144">
      <c r="A144" t="inlineStr">
        <is>
          <t>MOV-00141</t>
        </is>
      </c>
      <c r="B144" s="59" t="n">
        <v>46264</v>
      </c>
      <c r="C144" s="4" t="n">
        <v>0.3333333333333333</v>
      </c>
      <c r="D144" t="inlineStr">
        <is>
          <t>ENTRADA</t>
        </is>
      </c>
      <c r="E144" t="n">
        <v>41654</v>
      </c>
      <c r="F144" t="inlineStr">
        <is>
          <t>CONDULETA T 3" INTEMPERIE</t>
        </is>
      </c>
      <c r="G144" t="n">
        <v>1</v>
      </c>
      <c r="H144" t="inlineStr">
        <is>
          <t>Unidad</t>
        </is>
      </c>
      <c r="I144" t="inlineStr">
        <is>
          <t>PROVEEDOR</t>
        </is>
      </c>
      <c r="J144" t="inlineStr">
        <is>
          <t>CDS</t>
        </is>
      </c>
      <c r="K144" t="inlineStr">
        <is>
          <t>NUEVO / INICIAL</t>
        </is>
      </c>
      <c r="L144" t="inlineStr">
        <is>
          <t>A5</t>
        </is>
      </c>
      <c r="M144" t="inlineStr">
        <is>
          <t>Operacion Central</t>
        </is>
      </c>
      <c r="N144" t="inlineStr">
        <is>
          <t>Administrador CDS</t>
        </is>
      </c>
      <c r="O144" t="inlineStr">
        <is>
          <t>Recepción Almacén</t>
        </is>
      </c>
      <c r="P144" t="inlineStr">
        <is>
          <t>CARGUE-INICIAL-EXCEL</t>
        </is>
      </c>
    </row>
    <row r="145">
      <c r="A145" t="inlineStr">
        <is>
          <t>MOV-00142</t>
        </is>
      </c>
      <c r="B145" s="59" t="n">
        <v>46264</v>
      </c>
      <c r="C145" s="4" t="n">
        <v>0.3333333333333333</v>
      </c>
      <c r="D145" t="inlineStr">
        <is>
          <t>ENTRADA</t>
        </is>
      </c>
      <c r="E145" t="n">
        <v>41655</v>
      </c>
      <c r="F145" t="inlineStr">
        <is>
          <t>CONDULETA LL 3" INTERIOR</t>
        </is>
      </c>
      <c r="G145" t="n">
        <v>2</v>
      </c>
      <c r="H145" t="inlineStr">
        <is>
          <t>Unidad</t>
        </is>
      </c>
      <c r="I145" t="inlineStr">
        <is>
          <t>PROVEEDOR</t>
        </is>
      </c>
      <c r="J145" t="inlineStr">
        <is>
          <t>CDS</t>
        </is>
      </c>
      <c r="K145" t="inlineStr">
        <is>
          <t>NUEVO / INICIAL</t>
        </is>
      </c>
      <c r="L145" t="inlineStr">
        <is>
          <t>A4</t>
        </is>
      </c>
      <c r="M145" t="inlineStr">
        <is>
          <t>Operacion Central</t>
        </is>
      </c>
      <c r="N145" t="inlineStr">
        <is>
          <t>Administrador CDS</t>
        </is>
      </c>
      <c r="O145" t="inlineStr">
        <is>
          <t>Recepción Almacén</t>
        </is>
      </c>
      <c r="P145" t="inlineStr">
        <is>
          <t>CARGUE-INICIAL-EXCEL</t>
        </is>
      </c>
    </row>
    <row r="146">
      <c r="A146" t="inlineStr">
        <is>
          <t>MOV-00143</t>
        </is>
      </c>
      <c r="B146" s="59" t="n">
        <v>46264</v>
      </c>
      <c r="C146" s="4" t="n">
        <v>0.3333333333333333</v>
      </c>
      <c r="D146" t="inlineStr">
        <is>
          <t>ENTRADA</t>
        </is>
      </c>
      <c r="E146" t="n">
        <v>41656</v>
      </c>
      <c r="F146" t="inlineStr">
        <is>
          <t>CONDULETA LL 3" INTEMPERIE</t>
        </is>
      </c>
      <c r="G146" t="n">
        <v>10</v>
      </c>
      <c r="H146" t="inlineStr">
        <is>
          <t>Unidad</t>
        </is>
      </c>
      <c r="I146" t="inlineStr">
        <is>
          <t>PROVEEDOR</t>
        </is>
      </c>
      <c r="J146" t="inlineStr">
        <is>
          <t>CDS</t>
        </is>
      </c>
      <c r="K146" t="inlineStr">
        <is>
          <t>NUEVO / INICIAL</t>
        </is>
      </c>
      <c r="L146" t="inlineStr">
        <is>
          <t>A4</t>
        </is>
      </c>
      <c r="M146" t="inlineStr">
        <is>
          <t>Operacion Central</t>
        </is>
      </c>
      <c r="N146" t="inlineStr">
        <is>
          <t>Administrador CDS</t>
        </is>
      </c>
      <c r="O146" t="inlineStr">
        <is>
          <t>Recepción Almacén</t>
        </is>
      </c>
      <c r="P146" t="inlineStr">
        <is>
          <t>CARGUE-INICIAL-EXCEL</t>
        </is>
      </c>
    </row>
    <row r="147">
      <c r="A147" t="inlineStr">
        <is>
          <t>MOV-00144</t>
        </is>
      </c>
      <c r="B147" s="59" t="n">
        <v>46264</v>
      </c>
      <c r="C147" s="4" t="n">
        <v>0.3333333333333333</v>
      </c>
      <c r="D147" t="inlineStr">
        <is>
          <t>ENTRADA</t>
        </is>
      </c>
      <c r="E147" t="n">
        <v>42198</v>
      </c>
      <c r="F147" t="inlineStr">
        <is>
          <t>CAJA RADWELT 4X2 SALIDAS 1/2</t>
        </is>
      </c>
      <c r="G147" t="n">
        <v>5</v>
      </c>
      <c r="H147" t="inlineStr">
        <is>
          <t>Caja</t>
        </is>
      </c>
      <c r="I147" t="inlineStr">
        <is>
          <t>PROVEEDOR</t>
        </is>
      </c>
      <c r="J147" t="inlineStr">
        <is>
          <t>CDS</t>
        </is>
      </c>
      <c r="K147" t="inlineStr">
        <is>
          <t>NUEVO / INICIAL</t>
        </is>
      </c>
      <c r="L147" t="inlineStr">
        <is>
          <t>B2</t>
        </is>
      </c>
      <c r="M147" t="inlineStr">
        <is>
          <t>Operacion Central</t>
        </is>
      </c>
      <c r="N147" t="inlineStr">
        <is>
          <t>Administrador CDS</t>
        </is>
      </c>
      <c r="O147" t="inlineStr">
        <is>
          <t>Recepción Almacén</t>
        </is>
      </c>
      <c r="P147" t="inlineStr">
        <is>
          <t>CARGUE-INICIAL-EXCEL</t>
        </is>
      </c>
    </row>
    <row r="148">
      <c r="A148" t="inlineStr">
        <is>
          <t>MOV-00145</t>
        </is>
      </c>
      <c r="B148" s="59" t="n">
        <v>46264</v>
      </c>
      <c r="C148" s="4" t="n">
        <v>0.3333333333333333</v>
      </c>
      <c r="D148" t="inlineStr">
        <is>
          <t>ENTRADA</t>
        </is>
      </c>
      <c r="E148" t="n">
        <v>42388</v>
      </c>
      <c r="F148" t="inlineStr">
        <is>
          <t>INTERRUPTOR TERMOMAGNETICO ENCHUFABLE BIPOLAR 40A TIVEN LEGRAND 8902/40N</t>
        </is>
      </c>
      <c r="G148" t="n">
        <v>1</v>
      </c>
      <c r="H148" t="inlineStr">
        <is>
          <t>Unidad</t>
        </is>
      </c>
      <c r="I148" t="inlineStr">
        <is>
          <t>PROVEEDOR</t>
        </is>
      </c>
      <c r="J148" t="inlineStr">
        <is>
          <t>CDS</t>
        </is>
      </c>
      <c r="K148" t="inlineStr">
        <is>
          <t>NUEVO / INICIAL</t>
        </is>
      </c>
      <c r="L148" t="inlineStr">
        <is>
          <t>C2</t>
        </is>
      </c>
      <c r="M148" t="inlineStr">
        <is>
          <t>Operacion Central</t>
        </is>
      </c>
      <c r="N148" t="inlineStr">
        <is>
          <t>Administrador CDS</t>
        </is>
      </c>
      <c r="O148" t="inlineStr">
        <is>
          <t>Recepción Almacén</t>
        </is>
      </c>
      <c r="P148" t="inlineStr">
        <is>
          <t>CARGUE-INICIAL-EXCEL</t>
        </is>
      </c>
    </row>
    <row r="149">
      <c r="A149" t="inlineStr">
        <is>
          <t>MOV-00146</t>
        </is>
      </c>
      <c r="B149" s="59" t="n">
        <v>46264</v>
      </c>
      <c r="C149" s="4" t="n">
        <v>0.3333333333333333</v>
      </c>
      <c r="D149" t="inlineStr">
        <is>
          <t>ENTRADA</t>
        </is>
      </c>
      <c r="E149" t="n">
        <v>42796</v>
      </c>
      <c r="F149" t="inlineStr">
        <is>
          <t>LIMPIA CONTACTOS ELECTRICO 200ML</t>
        </is>
      </c>
      <c r="G149" t="n">
        <v>4</v>
      </c>
      <c r="H149" t="inlineStr">
        <is>
          <t>Unidad</t>
        </is>
      </c>
      <c r="I149" t="inlineStr">
        <is>
          <t>PROVEEDOR</t>
        </is>
      </c>
      <c r="J149" t="inlineStr">
        <is>
          <t>CDS</t>
        </is>
      </c>
      <c r="K149" t="inlineStr">
        <is>
          <t>NUEVO / INICIAL</t>
        </is>
      </c>
      <c r="L149" t="inlineStr">
        <is>
          <t>A2</t>
        </is>
      </c>
      <c r="M149" t="inlineStr">
        <is>
          <t>Operacion Central</t>
        </is>
      </c>
      <c r="N149" t="inlineStr">
        <is>
          <t>Administrador CDS</t>
        </is>
      </c>
      <c r="O149" t="inlineStr">
        <is>
          <t>Recepción Almacén</t>
        </is>
      </c>
      <c r="P149" t="inlineStr">
        <is>
          <t>CARGUE-INICIAL-EXCEL</t>
        </is>
      </c>
    </row>
    <row r="150">
      <c r="A150" t="inlineStr">
        <is>
          <t>MOV-00147</t>
        </is>
      </c>
      <c r="B150" s="59" t="n">
        <v>46264</v>
      </c>
      <c r="C150" s="4" t="n">
        <v>0.3333333333333333</v>
      </c>
      <c r="D150" t="inlineStr">
        <is>
          <t>ENTRADA</t>
        </is>
      </c>
      <c r="E150" t="n">
        <v>43846</v>
      </c>
      <c r="F150" t="inlineStr">
        <is>
          <t>TABLERO DISTRIBUCIÓN TRIFASICO 12 CIRCUITOS RIEL DE SOBREPONER CILES</t>
        </is>
      </c>
      <c r="G150" t="n">
        <v>9</v>
      </c>
      <c r="H150" t="inlineStr">
        <is>
          <t>Unidad</t>
        </is>
      </c>
      <c r="I150" t="inlineStr">
        <is>
          <t>PROVEEDOR</t>
        </is>
      </c>
      <c r="J150" t="inlineStr">
        <is>
          <t>CDS</t>
        </is>
      </c>
      <c r="K150" t="inlineStr">
        <is>
          <t>NUEVO / INICIAL</t>
        </is>
      </c>
      <c r="L150" t="inlineStr">
        <is>
          <t>B2</t>
        </is>
      </c>
      <c r="M150" t="inlineStr">
        <is>
          <t>Operacion Central</t>
        </is>
      </c>
      <c r="N150" t="inlineStr">
        <is>
          <t>Administrador CDS</t>
        </is>
      </c>
      <c r="O150" t="inlineStr">
        <is>
          <t>Recepción Almacén</t>
        </is>
      </c>
      <c r="P150" t="inlineStr">
        <is>
          <t>CARGUE-INICIAL-EXCEL</t>
        </is>
      </c>
    </row>
    <row r="151">
      <c r="A151" t="inlineStr">
        <is>
          <t>MOV-00148</t>
        </is>
      </c>
      <c r="B151" s="59" t="n">
        <v>46264</v>
      </c>
      <c r="C151" s="4" t="n">
        <v>0.3333333333333333</v>
      </c>
      <c r="D151" t="inlineStr">
        <is>
          <t>ENTRADA</t>
        </is>
      </c>
      <c r="E151" t="n">
        <v>44815</v>
      </c>
      <c r="F151" t="inlineStr">
        <is>
          <t>ESPUMA EXPANSIVA MULTIUSO 750 ML SOUDAL</t>
        </is>
      </c>
      <c r="G151" t="n">
        <v>3</v>
      </c>
      <c r="H151" t="inlineStr">
        <is>
          <t>Unidad</t>
        </is>
      </c>
      <c r="I151" t="inlineStr">
        <is>
          <t>PROVEEDOR</t>
        </is>
      </c>
      <c r="J151" t="inlineStr">
        <is>
          <t>CDS</t>
        </is>
      </c>
      <c r="K151" t="inlineStr">
        <is>
          <t>NUEVO / INICIAL</t>
        </is>
      </c>
      <c r="L151" t="inlineStr">
        <is>
          <t>A2</t>
        </is>
      </c>
      <c r="M151" t="inlineStr">
        <is>
          <t>Operacion Central</t>
        </is>
      </c>
      <c r="N151" t="inlineStr">
        <is>
          <t>Administrador CDS</t>
        </is>
      </c>
      <c r="O151" t="inlineStr">
        <is>
          <t>Recepción Almacén</t>
        </is>
      </c>
      <c r="P151" t="inlineStr">
        <is>
          <t>CARGUE-INICIAL-EXCEL</t>
        </is>
      </c>
    </row>
    <row r="152">
      <c r="A152" t="inlineStr">
        <is>
          <t>MOV-00149</t>
        </is>
      </c>
      <c r="B152" s="59" t="n">
        <v>46264</v>
      </c>
      <c r="C152" s="4" t="n">
        <v>0.3333333333333333</v>
      </c>
      <c r="D152" t="inlineStr">
        <is>
          <t>ENTRADA</t>
        </is>
      </c>
      <c r="E152" t="n">
        <v>45635</v>
      </c>
      <c r="F152" t="inlineStr">
        <is>
          <t>CAJA RADWELT 4X4 SALIDAS 1/2</t>
        </is>
      </c>
      <c r="G152" t="n">
        <v>4</v>
      </c>
      <c r="H152" t="inlineStr">
        <is>
          <t>Caja</t>
        </is>
      </c>
      <c r="I152" t="inlineStr">
        <is>
          <t>PROVEEDOR</t>
        </is>
      </c>
      <c r="J152" t="inlineStr">
        <is>
          <t>CDS</t>
        </is>
      </c>
      <c r="K152" t="inlineStr">
        <is>
          <t>NUEVO / INICIAL</t>
        </is>
      </c>
      <c r="L152" t="inlineStr">
        <is>
          <t>B2</t>
        </is>
      </c>
      <c r="M152" t="inlineStr">
        <is>
          <t>Operacion Central</t>
        </is>
      </c>
      <c r="N152" t="inlineStr">
        <is>
          <t>Administrador CDS</t>
        </is>
      </c>
      <c r="O152" t="inlineStr">
        <is>
          <t>Recepción Almacén</t>
        </is>
      </c>
      <c r="P152" t="inlineStr">
        <is>
          <t>CARGUE-INICIAL-EXCEL</t>
        </is>
      </c>
    </row>
  </sheetData>
  <mergeCells count="1">
    <mergeCell ref="A1:Q1"/>
  </mergeCells>
  <hyperlinks>
    <hyperlink ref="Q2" location="INICIO!A1" display="INICIO!A1"/>
  </hyperlink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F9"/>
  <sheetViews>
    <sheetView workbookViewId="0">
      <selection activeCell="A1" sqref="A1"/>
    </sheetView>
  </sheetViews>
  <sheetFormatPr baseColWidth="10" defaultRowHeight="15"/>
  <cols>
    <col width="18.7109375" customWidth="1" style="33" min="1" max="1"/>
    <col width="28.7109375" customWidth="1" style="33" min="2" max="3"/>
    <col width="24.7109375" customWidth="1" style="33" min="4" max="4"/>
    <col width="14.7109375" customWidth="1" style="33" min="5" max="5"/>
    <col width="55.7109375" customWidth="1" style="33" min="6" max="6"/>
  </cols>
  <sheetData>
    <row r="1" ht="35.1" customHeight="1" s="33">
      <c r="A1" s="45" t="inlineStr">
        <is>
          <t>ADMINISTRACION Y CONTROL DE BODEGAS (ALMACENES FISICOS)</t>
        </is>
      </c>
    </row>
    <row r="2">
      <c r="F2" s="2" t="inlineStr">
        <is>
          <t>Ir a Inicio</t>
        </is>
      </c>
    </row>
    <row r="3" ht="26.1" customHeight="1" s="33">
      <c r="A3" s="1" t="inlineStr">
        <is>
          <t>Codigo de Bodega</t>
        </is>
      </c>
      <c r="B3" s="1" t="inlineStr">
        <is>
          <t>Nombre de Bodega</t>
        </is>
      </c>
      <c r="C3" s="1" t="inlineStr">
        <is>
          <t>Ubicacion</t>
        </is>
      </c>
      <c r="D3" s="1" t="inlineStr">
        <is>
          <t>Responsable</t>
        </is>
      </c>
      <c r="E3" s="1" t="inlineStr">
        <is>
          <t>Estado</t>
        </is>
      </c>
      <c r="F3" s="1" t="inlineStr">
        <is>
          <t>Observaciones</t>
        </is>
      </c>
    </row>
    <row r="4">
      <c r="A4" s="1" t="inlineStr">
        <is>
          <t>BOD-001</t>
        </is>
      </c>
      <c r="B4" s="1" t="inlineStr">
        <is>
          <t>CDS</t>
        </is>
      </c>
      <c r="C4" s="1" t="inlineStr">
        <is>
          <t>Sede Principal / Almacen Central</t>
        </is>
      </c>
      <c r="D4" s="1" t="inlineStr">
        <is>
          <t>Administrador CDS</t>
        </is>
      </c>
      <c r="E4" s="1" t="inlineStr">
        <is>
          <t>Activa</t>
        </is>
      </c>
      <c r="F4" s="1" t="inlineStr">
        <is>
          <t>Centro de Distribucion y Almacenamiento Principal (Control Oficial)</t>
        </is>
      </c>
    </row>
    <row r="5">
      <c r="A5" s="1" t="inlineStr">
        <is>
          <t>BOD-002</t>
        </is>
      </c>
      <c r="B5" s="1" t="inlineStr">
        <is>
          <t>AOM</t>
        </is>
      </c>
      <c r="C5" s="1" t="inlineStr">
        <is>
          <t>Sede Operativa AOM</t>
        </is>
      </c>
      <c r="D5" s="1" t="inlineStr">
        <is>
          <t>Lider Operativo AOM</t>
        </is>
      </c>
      <c r="E5" s="1" t="inlineStr">
        <is>
          <t>Activa</t>
        </is>
      </c>
      <c r="F5" s="1" t="inlineStr">
        <is>
          <t>Bodega de Operaciones y Mantenimiento</t>
        </is>
      </c>
    </row>
    <row r="6">
      <c r="A6" s="1" t="inlineStr">
        <is>
          <t>BOD-003</t>
        </is>
      </c>
      <c r="B6" s="1" t="inlineStr">
        <is>
          <t>PROYECTOS</t>
        </is>
      </c>
      <c r="C6" s="1" t="inlineStr">
        <is>
          <t>Frentes de Obra e Infraestructura</t>
        </is>
      </c>
      <c r="D6" s="1" t="inlineStr">
        <is>
          <t>Coordinador de Proyectos</t>
        </is>
      </c>
      <c r="E6" s="1" t="inlineStr">
        <is>
          <t>Activa</t>
        </is>
      </c>
      <c r="F6" s="1" t="inlineStr">
        <is>
          <t>Destino de materiales y herramientas para proyectos</t>
        </is>
      </c>
    </row>
    <row r="7">
      <c r="A7" s="1" t="inlineStr">
        <is>
          <t>BOD-004</t>
        </is>
      </c>
      <c r="B7" s="1" t="inlineStr">
        <is>
          <t>DISPOSICION FINAL</t>
        </is>
      </c>
      <c r="C7" s="1" t="inlineStr">
        <is>
          <t>Area de Bajas y Scrap</t>
        </is>
      </c>
      <c r="D7" s="1" t="inlineStr">
        <is>
          <t>Control Calidad / SST</t>
        </is>
      </c>
      <c r="E7" s="1" t="inlineStr">
        <is>
          <t>Activa</t>
        </is>
      </c>
      <c r="F7" s="1" t="inlineStr">
        <is>
          <t>Destino exclusivo de bajas por items dañados, gastados o vencidos</t>
        </is>
      </c>
    </row>
    <row r="8">
      <c r="A8" s="1" t="inlineStr">
        <is>
          <t>BOD-005</t>
        </is>
      </c>
      <c r="B8" s="1" t="inlineStr">
        <is>
          <t>MOVILIDAD</t>
        </is>
      </c>
      <c r="C8" s="1" t="inlineStr">
        <is>
          <t>Vehiculos y Flota Operativa</t>
        </is>
      </c>
      <c r="D8" s="1" t="inlineStr">
        <is>
          <t>Logistica / Transporte</t>
        </is>
      </c>
      <c r="E8" s="1" t="inlineStr">
        <is>
          <t>Activa</t>
        </is>
      </c>
      <c r="F8" s="1" t="inlineStr">
        <is>
          <t>Bodega operativa para gestion de movilidad y transporte</t>
        </is>
      </c>
    </row>
    <row r="9">
      <c r="A9" s="1" t="inlineStr">
        <is>
          <t>BOD-006</t>
        </is>
      </c>
      <c r="B9" s="1" t="inlineStr">
        <is>
          <t>TRASLADOS</t>
        </is>
      </c>
      <c r="C9" s="1" t="inlineStr">
        <is>
          <t>Transito y Reubicacion</t>
        </is>
      </c>
      <c r="D9" s="1" t="inlineStr">
        <is>
          <t>Logistica / Despachos</t>
        </is>
      </c>
      <c r="E9" s="1" t="inlineStr">
        <is>
          <t>Activa</t>
        </is>
      </c>
      <c r="F9" s="1" t="inlineStr">
        <is>
          <t>Bodega temporal para traslados y movimientos intersedes</t>
        </is>
      </c>
    </row>
  </sheetData>
  <mergeCells count="1">
    <mergeCell ref="A1:F1"/>
  </mergeCells>
  <hyperlinks>
    <hyperlink ref="F2" location="INICIO!A1" display="INICIO!A1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I7"/>
  <sheetViews>
    <sheetView workbookViewId="0">
      <selection activeCell="A1" sqref="A1"/>
    </sheetView>
  </sheetViews>
  <sheetFormatPr baseColWidth="10" defaultRowHeight="15"/>
  <cols>
    <col width="16.7109375" customWidth="1" style="33" min="1" max="1"/>
    <col width="42.7109375" customWidth="1" style="33" min="2" max="2"/>
    <col width="20.7109375" customWidth="1" style="33" min="3" max="3"/>
    <col width="16.7109375" customWidth="1" style="33" min="4" max="4"/>
    <col width="20.7109375" customWidth="1" style="33" min="5" max="5"/>
    <col width="14.7109375" customWidth="1" style="33" min="6" max="6"/>
    <col width="16.7109375" customWidth="1" style="33" min="7" max="7"/>
    <col width="22.7109375" customWidth="1" style="33" min="8" max="8"/>
    <col width="40.7109375" customWidth="1" style="33" min="9" max="9"/>
  </cols>
  <sheetData>
    <row r="1" ht="35.1" customHeight="1" s="33">
      <c r="A1" s="45" t="inlineStr">
        <is>
          <t>CONTROL Y MONITOREO DE ITEMS CON FECHA DE VENCIMIENTO</t>
        </is>
      </c>
    </row>
    <row r="2">
      <c r="I2" s="2" t="inlineStr">
        <is>
          <t>Ir a Inicio</t>
        </is>
      </c>
    </row>
    <row r="3" ht="26.1" customHeight="1" s="33">
      <c r="A3" s="1" t="inlineStr">
        <is>
          <t>Codigo del Item</t>
        </is>
      </c>
      <c r="B3" s="1" t="inlineStr">
        <is>
          <t>Nombre del Item</t>
        </is>
      </c>
      <c r="C3" s="1" t="inlineStr">
        <is>
          <t>Bodega</t>
        </is>
      </c>
      <c r="D3" s="1" t="inlineStr">
        <is>
          <t>Fecha Ingreso</t>
        </is>
      </c>
      <c r="E3" s="1" t="inlineStr">
        <is>
          <t>Fecha Vencimiento</t>
        </is>
      </c>
      <c r="F3" s="1" t="inlineStr">
        <is>
          <t>Cant. Inicial</t>
        </is>
      </c>
      <c r="G3" s="1" t="inlineStr">
        <is>
          <t>Cant. Disponible</t>
        </is>
      </c>
      <c r="H3" s="1" t="inlineStr">
        <is>
          <t>Estado</t>
        </is>
      </c>
      <c r="I3" s="1" t="inlineStr">
        <is>
          <t>Observaciones</t>
        </is>
      </c>
    </row>
    <row r="4">
      <c r="A4" t="n">
        <v>7500</v>
      </c>
      <c r="B4" t="inlineStr">
        <is>
          <t>ESPUMA EXPANSIVA SIKA</t>
        </is>
      </c>
      <c r="C4" t="inlineStr">
        <is>
          <t>CDS</t>
        </is>
      </c>
      <c r="D4" s="59" t="n">
        <v>46264</v>
      </c>
      <c r="E4" s="59" t="n">
        <v>46629</v>
      </c>
      <c r="F4" t="n">
        <v>19</v>
      </c>
      <c r="G4" t="n">
        <v>19</v>
      </c>
      <c r="H4" t="inlineStr">
        <is>
          <t>VIGENTE</t>
        </is>
      </c>
      <c r="I4" t="inlineStr">
        <is>
          <t>Lote inicial cargado desde INVENTARIO.xlsx</t>
        </is>
      </c>
    </row>
    <row r="5">
      <c r="A5" t="n">
        <v>7508</v>
      </c>
      <c r="B5" t="inlineStr">
        <is>
          <t>SELLANTE ADHESIVO WEICON</t>
        </is>
      </c>
      <c r="C5" t="inlineStr">
        <is>
          <t>CDS</t>
        </is>
      </c>
      <c r="D5" s="59" t="n">
        <v>46264</v>
      </c>
      <c r="E5" s="59" t="n">
        <v>46629</v>
      </c>
      <c r="F5" t="n">
        <v>78</v>
      </c>
      <c r="G5" t="n">
        <v>78</v>
      </c>
      <c r="H5" t="inlineStr">
        <is>
          <t>VIGENTE</t>
        </is>
      </c>
      <c r="I5" t="inlineStr">
        <is>
          <t>Lote inicial cargado desde INVENTARIO.xlsx</t>
        </is>
      </c>
    </row>
    <row r="6">
      <c r="A6" t="n">
        <v>7707</v>
      </c>
      <c r="B6" t="inlineStr">
        <is>
          <t>SELLANTE ADHESIVO SIKA</t>
        </is>
      </c>
      <c r="C6" t="inlineStr">
        <is>
          <t>CDS</t>
        </is>
      </c>
      <c r="D6" s="59" t="n">
        <v>46264</v>
      </c>
      <c r="E6" s="59" t="n">
        <v>46629</v>
      </c>
      <c r="F6" t="n">
        <v>3</v>
      </c>
      <c r="G6" t="n">
        <v>3</v>
      </c>
      <c r="H6" t="inlineStr">
        <is>
          <t>VIGENTE</t>
        </is>
      </c>
      <c r="I6" t="inlineStr">
        <is>
          <t>Lote inicial cargado desde INVENTARIO.xlsx</t>
        </is>
      </c>
    </row>
    <row r="7">
      <c r="A7" t="n">
        <v>44815</v>
      </c>
      <c r="B7" t="inlineStr">
        <is>
          <t>ESPUMA EXPANSIVA MULTIUSO 750 ML SOUDAL</t>
        </is>
      </c>
      <c r="C7" t="inlineStr">
        <is>
          <t>CDS</t>
        </is>
      </c>
      <c r="D7" s="59" t="n">
        <v>46264</v>
      </c>
      <c r="E7" s="59" t="n">
        <v>46629</v>
      </c>
      <c r="F7" t="n">
        <v>3</v>
      </c>
      <c r="G7" t="n">
        <v>3</v>
      </c>
      <c r="H7" t="inlineStr">
        <is>
          <t>VIGENTE</t>
        </is>
      </c>
      <c r="I7" t="inlineStr">
        <is>
          <t>Lote inicial cargado desde INVENTARIO.xlsx</t>
        </is>
      </c>
    </row>
  </sheetData>
  <mergeCells count="1">
    <mergeCell ref="A1:I1"/>
  </mergeCells>
  <hyperlinks>
    <hyperlink ref="I2" location="INICIO!A1" display="INICIO!A1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M656"/>
  <sheetViews>
    <sheetView workbookViewId="0">
      <selection activeCell="A1" sqref="A1"/>
    </sheetView>
  </sheetViews>
  <sheetFormatPr baseColWidth="10" defaultRowHeight="15"/>
  <cols>
    <col width="14.7109375" customWidth="1" style="33" min="1" max="1"/>
    <col width="42.7109375" customWidth="1" style="33" min="2" max="2"/>
    <col width="22.7109375" customWidth="1" style="33" min="3" max="3"/>
    <col width="24.7109375" customWidth="1" style="33" min="4" max="4"/>
    <col width="16.7109375" customWidth="1" style="33" min="5" max="5"/>
    <col width="18.7109375" customWidth="1" style="33" min="6" max="7"/>
    <col width="22.7109375" customWidth="1" style="33" min="8" max="9"/>
    <col width="14.7109375" customWidth="1" style="33" min="10" max="10"/>
    <col width="12.7109375" customWidth="1" style="33" min="11" max="11"/>
    <col width="35.7109375" customWidth="1" style="33" min="12" max="12"/>
    <col width="16.7109375" customWidth="1" style="33" min="13" max="13"/>
  </cols>
  <sheetData>
    <row r="1" ht="35.1" customHeight="1" s="33">
      <c r="A1" s="45" t="inlineStr">
        <is>
          <t>CATALOGO MAESTRO DE ITEMS Y PRODUCTOS (10,100 ITEMS)</t>
        </is>
      </c>
    </row>
    <row r="2">
      <c r="M2" s="2" t="inlineStr">
        <is>
          <t>Ir a Inicio</t>
        </is>
      </c>
    </row>
    <row r="3" ht="26.1" customHeight="1" s="33">
      <c r="A3" s="1" t="inlineStr">
        <is>
          <t>Codigo</t>
        </is>
      </c>
      <c r="B3" s="1" t="inlineStr">
        <is>
          <t>Nombre del Item</t>
        </is>
      </c>
      <c r="C3" s="1" t="inlineStr">
        <is>
          <t>Categoria</t>
        </is>
      </c>
      <c r="D3" s="1" t="inlineStr">
        <is>
          <t>Subcategoria</t>
        </is>
      </c>
      <c r="E3" s="1" t="inlineStr">
        <is>
          <t>Unidad de Medida</t>
        </is>
      </c>
      <c r="F3" s="1" t="inlineStr">
        <is>
          <t>Marca</t>
        </is>
      </c>
      <c r="G3" s="1" t="inlineStr">
        <is>
          <t>Referencia</t>
        </is>
      </c>
      <c r="H3" s="1" t="inlineStr">
        <is>
          <t>Ubicacion (Bod. Central)</t>
        </is>
      </c>
      <c r="I3" s="1" t="inlineStr">
        <is>
          <t>Fecha de Vencimiento</t>
        </is>
      </c>
      <c r="J3" s="1" t="inlineStr">
        <is>
          <t>Stock Minimo</t>
        </is>
      </c>
      <c r="K3" s="1" t="inlineStr">
        <is>
          <t>Estado</t>
        </is>
      </c>
      <c r="L3" s="1" t="inlineStr">
        <is>
          <t>Observaciones</t>
        </is>
      </c>
      <c r="M3" s="1" t="inlineStr">
        <is>
          <t>Fecha de Registro</t>
        </is>
      </c>
    </row>
    <row r="4">
      <c r="A4" t="n">
        <v>4752</v>
      </c>
      <c r="B4" t="inlineStr">
        <is>
          <t>AMARRE PLASTICO BLANCO 10 CM DEXSON</t>
        </is>
      </c>
      <c r="C4" t="inlineStr">
        <is>
          <t>Materiales</t>
        </is>
      </c>
      <c r="D4" t="inlineStr">
        <is>
          <t>General</t>
        </is>
      </c>
      <c r="E4" t="inlineStr">
        <is>
          <t>Unidad</t>
        </is>
      </c>
      <c r="F4" t="inlineStr">
        <is>
          <t>Generico</t>
        </is>
      </c>
      <c r="G4" t="inlineStr">
        <is>
          <t>-</t>
        </is>
      </c>
      <c r="H4" t="inlineStr">
        <is>
          <t>-</t>
        </is>
      </c>
      <c r="I4" t="inlineStr">
        <is>
          <t>NO APLICA</t>
        </is>
      </c>
      <c r="J4" t="n">
        <v>5</v>
      </c>
      <c r="K4" t="inlineStr">
        <is>
          <t>Activo</t>
        </is>
      </c>
      <c r="L4" t="inlineStr">
        <is>
          <t>Cargue inicial oficial desde INVENTARIO.xlsx</t>
        </is>
      </c>
      <c r="M4" s="59" t="n">
        <v>46264</v>
      </c>
    </row>
    <row r="5">
      <c r="A5" t="n">
        <v>4758</v>
      </c>
      <c r="B5" t="inlineStr">
        <is>
          <t>AMARRE PLASTICO NEGRO 10 CM DEXSON</t>
        </is>
      </c>
      <c r="C5" t="inlineStr">
        <is>
          <t>Materiales</t>
        </is>
      </c>
      <c r="D5" t="inlineStr">
        <is>
          <t>General</t>
        </is>
      </c>
      <c r="E5" t="inlineStr">
        <is>
          <t>Unidad</t>
        </is>
      </c>
      <c r="F5" t="inlineStr">
        <is>
          <t>Generico</t>
        </is>
      </c>
      <c r="G5" t="inlineStr">
        <is>
          <t>-</t>
        </is>
      </c>
      <c r="H5" t="inlineStr">
        <is>
          <t>-</t>
        </is>
      </c>
      <c r="I5" t="inlineStr">
        <is>
          <t>NO APLICA</t>
        </is>
      </c>
      <c r="J5" t="n">
        <v>5</v>
      </c>
      <c r="K5" t="inlineStr">
        <is>
          <t>Activo</t>
        </is>
      </c>
      <c r="L5" t="inlineStr">
        <is>
          <t>Cargue inicial oficial desde INVENTARIO.xlsx</t>
        </is>
      </c>
      <c r="M5" s="59" t="n">
        <v>46264</v>
      </c>
    </row>
    <row r="6">
      <c r="A6" t="n">
        <v>4759</v>
      </c>
      <c r="B6" t="inlineStr">
        <is>
          <t>AMARRE PLASTICO NEGRO 15 CM DEXSON</t>
        </is>
      </c>
      <c r="C6" t="inlineStr">
        <is>
          <t>Materiales</t>
        </is>
      </c>
      <c r="D6" t="inlineStr">
        <is>
          <t>General</t>
        </is>
      </c>
      <c r="E6" t="inlineStr">
        <is>
          <t>Unidad</t>
        </is>
      </c>
      <c r="F6" t="inlineStr">
        <is>
          <t>Generico</t>
        </is>
      </c>
      <c r="G6" t="inlineStr">
        <is>
          <t>-</t>
        </is>
      </c>
      <c r="H6" t="inlineStr">
        <is>
          <t>-</t>
        </is>
      </c>
      <c r="I6" t="inlineStr">
        <is>
          <t>NO APLICA</t>
        </is>
      </c>
      <c r="J6" t="n">
        <v>5</v>
      </c>
      <c r="K6" t="inlineStr">
        <is>
          <t>Activo</t>
        </is>
      </c>
      <c r="L6" t="inlineStr">
        <is>
          <t>Cargue inicial oficial desde INVENTARIO.xlsx</t>
        </is>
      </c>
      <c r="M6" s="59" t="n">
        <v>46264</v>
      </c>
    </row>
    <row r="7">
      <c r="A7" t="n">
        <v>4760</v>
      </c>
      <c r="B7" t="inlineStr">
        <is>
          <t>AMARRE PLASTICO NEGRO 20 CM DEXSON</t>
        </is>
      </c>
      <c r="C7" t="inlineStr">
        <is>
          <t>Materiales</t>
        </is>
      </c>
      <c r="D7" t="inlineStr">
        <is>
          <t>General</t>
        </is>
      </c>
      <c r="E7" t="inlineStr">
        <is>
          <t>Unidad</t>
        </is>
      </c>
      <c r="F7" t="inlineStr">
        <is>
          <t>Generico</t>
        </is>
      </c>
      <c r="G7" t="inlineStr">
        <is>
          <t>-</t>
        </is>
      </c>
      <c r="H7" t="inlineStr">
        <is>
          <t>-</t>
        </is>
      </c>
      <c r="I7" t="inlineStr">
        <is>
          <t>NO APLICA</t>
        </is>
      </c>
      <c r="J7" t="n">
        <v>5</v>
      </c>
      <c r="K7" t="inlineStr">
        <is>
          <t>Activo</t>
        </is>
      </c>
      <c r="L7" t="inlineStr">
        <is>
          <t>Cargue inicial oficial desde INVENTARIO.xlsx</t>
        </is>
      </c>
      <c r="M7" s="59" t="n">
        <v>46264</v>
      </c>
    </row>
    <row r="8">
      <c r="A8" t="n">
        <v>4761</v>
      </c>
      <c r="B8" t="inlineStr">
        <is>
          <t>AMARRE PLASTICO NEGRO 25 CM DEXSON</t>
        </is>
      </c>
      <c r="C8" t="inlineStr">
        <is>
          <t>Materiales</t>
        </is>
      </c>
      <c r="D8" t="inlineStr">
        <is>
          <t>General</t>
        </is>
      </c>
      <c r="E8" t="inlineStr">
        <is>
          <t>Unidad</t>
        </is>
      </c>
      <c r="F8" t="inlineStr">
        <is>
          <t>Generico</t>
        </is>
      </c>
      <c r="G8" t="inlineStr">
        <is>
          <t>-</t>
        </is>
      </c>
      <c r="H8" t="inlineStr">
        <is>
          <t>-</t>
        </is>
      </c>
      <c r="I8" t="inlineStr">
        <is>
          <t>NO APLICA</t>
        </is>
      </c>
      <c r="J8" t="n">
        <v>5</v>
      </c>
      <c r="K8" t="inlineStr">
        <is>
          <t>Activo</t>
        </is>
      </c>
      <c r="L8" t="inlineStr">
        <is>
          <t>Cargue inicial oficial desde INVENTARIO.xlsx</t>
        </is>
      </c>
      <c r="M8" s="59" t="n">
        <v>46264</v>
      </c>
    </row>
    <row r="9">
      <c r="A9" t="n">
        <v>4762</v>
      </c>
      <c r="B9" t="inlineStr">
        <is>
          <t>AMARRE PLASTICO NEGRO 30 CM DEXSON</t>
        </is>
      </c>
      <c r="C9" t="inlineStr">
        <is>
          <t>Materiales</t>
        </is>
      </c>
      <c r="D9" t="inlineStr">
        <is>
          <t>General</t>
        </is>
      </c>
      <c r="E9" t="inlineStr">
        <is>
          <t>Unidad</t>
        </is>
      </c>
      <c r="F9" t="inlineStr">
        <is>
          <t>Generico</t>
        </is>
      </c>
      <c r="G9" t="inlineStr">
        <is>
          <t>-</t>
        </is>
      </c>
      <c r="H9" t="inlineStr">
        <is>
          <t>-</t>
        </is>
      </c>
      <c r="I9" t="inlineStr">
        <is>
          <t>NO APLICA</t>
        </is>
      </c>
      <c r="J9" t="n">
        <v>5</v>
      </c>
      <c r="K9" t="inlineStr">
        <is>
          <t>Activo</t>
        </is>
      </c>
      <c r="L9" t="inlineStr">
        <is>
          <t>Cargue inicial oficial desde INVENTARIO.xlsx</t>
        </is>
      </c>
      <c r="M9" s="59" t="n">
        <v>46264</v>
      </c>
    </row>
    <row r="10">
      <c r="A10" t="n">
        <v>4853</v>
      </c>
      <c r="B10" t="inlineStr">
        <is>
          <t>LAMINA NEOPRENO RIGIDO 1/8"</t>
        </is>
      </c>
      <c r="C10" t="inlineStr">
        <is>
          <t>Materiales</t>
        </is>
      </c>
      <c r="D10" t="inlineStr">
        <is>
          <t>General</t>
        </is>
      </c>
      <c r="E10" t="inlineStr">
        <is>
          <t>Unidad</t>
        </is>
      </c>
      <c r="F10" t="inlineStr">
        <is>
          <t>Generico</t>
        </is>
      </c>
      <c r="G10" t="inlineStr">
        <is>
          <t>-</t>
        </is>
      </c>
      <c r="H10" t="inlineStr">
        <is>
          <t>-</t>
        </is>
      </c>
      <c r="I10" t="inlineStr">
        <is>
          <t>NO APLICA</t>
        </is>
      </c>
      <c r="J10" t="n">
        <v>5</v>
      </c>
      <c r="K10" t="inlineStr">
        <is>
          <t>Activo</t>
        </is>
      </c>
      <c r="L10" t="inlineStr">
        <is>
          <t>Cargue inicial oficial desde INVENTARIO.xlsx</t>
        </is>
      </c>
      <c r="M10" s="59" t="n">
        <v>46264</v>
      </c>
    </row>
    <row r="11">
      <c r="A11" t="n">
        <v>4857</v>
      </c>
      <c r="B11" t="inlineStr">
        <is>
          <t>CABLE ALUMINIO DESNUDO 4 AWG</t>
        </is>
      </c>
      <c r="C11" t="inlineStr">
        <is>
          <t>Cableado</t>
        </is>
      </c>
      <c r="D11" t="inlineStr">
        <is>
          <t>General</t>
        </is>
      </c>
      <c r="E11" t="inlineStr">
        <is>
          <t>Metro</t>
        </is>
      </c>
      <c r="F11" t="inlineStr">
        <is>
          <t>Generico</t>
        </is>
      </c>
      <c r="G11" t="inlineStr">
        <is>
          <t>-</t>
        </is>
      </c>
      <c r="H11" t="inlineStr">
        <is>
          <t>-</t>
        </is>
      </c>
      <c r="I11" t="inlineStr">
        <is>
          <t>NO APLICA</t>
        </is>
      </c>
      <c r="J11" t="n">
        <v>5</v>
      </c>
      <c r="K11" t="inlineStr">
        <is>
          <t>Activo</t>
        </is>
      </c>
      <c r="L11" t="inlineStr">
        <is>
          <t>Cargue inicial oficial desde INVENTARIO.xlsx</t>
        </is>
      </c>
      <c r="M11" s="59" t="n">
        <v>46264</v>
      </c>
    </row>
    <row r="12">
      <c r="A12" t="n">
        <v>4859</v>
      </c>
      <c r="B12" t="inlineStr">
        <is>
          <t>CABLE COBRE AISLADO 7 HILOS AMARILLO 10 AWG</t>
        </is>
      </c>
      <c r="C12" t="inlineStr">
        <is>
          <t>Cableado</t>
        </is>
      </c>
      <c r="D12" t="inlineStr">
        <is>
          <t>General</t>
        </is>
      </c>
      <c r="E12" t="inlineStr">
        <is>
          <t>Metro</t>
        </is>
      </c>
      <c r="F12" t="inlineStr">
        <is>
          <t>Generico</t>
        </is>
      </c>
      <c r="G12" t="inlineStr">
        <is>
          <t>-</t>
        </is>
      </c>
      <c r="H12" t="inlineStr">
        <is>
          <t>-</t>
        </is>
      </c>
      <c r="I12" t="inlineStr">
        <is>
          <t>NO APLICA</t>
        </is>
      </c>
      <c r="J12" t="n">
        <v>5</v>
      </c>
      <c r="K12" t="inlineStr">
        <is>
          <t>Activo</t>
        </is>
      </c>
      <c r="L12" t="inlineStr">
        <is>
          <t>Cargue inicial oficial desde INVENTARIO.xlsx</t>
        </is>
      </c>
      <c r="M12" s="59" t="n">
        <v>46264</v>
      </c>
    </row>
    <row r="13">
      <c r="A13" t="n">
        <v>4869</v>
      </c>
      <c r="B13" t="inlineStr">
        <is>
          <t>CABLE COBRE AISLADO 7 HILOS AZUL 10 AWG</t>
        </is>
      </c>
      <c r="C13" t="inlineStr">
        <is>
          <t>Cableado</t>
        </is>
      </c>
      <c r="D13" t="inlineStr">
        <is>
          <t>General</t>
        </is>
      </c>
      <c r="E13" t="inlineStr">
        <is>
          <t>Metro</t>
        </is>
      </c>
      <c r="F13" t="inlineStr">
        <is>
          <t>Generico</t>
        </is>
      </c>
      <c r="G13" t="inlineStr">
        <is>
          <t>-</t>
        </is>
      </c>
      <c r="H13" t="inlineStr">
        <is>
          <t>-</t>
        </is>
      </c>
      <c r="I13" t="inlineStr">
        <is>
          <t>NO APLICA</t>
        </is>
      </c>
      <c r="J13" t="n">
        <v>5</v>
      </c>
      <c r="K13" t="inlineStr">
        <is>
          <t>Activo</t>
        </is>
      </c>
      <c r="L13" t="inlineStr">
        <is>
          <t>Cargue inicial oficial desde INVENTARIO.xlsx</t>
        </is>
      </c>
      <c r="M13" s="59" t="n">
        <v>46264</v>
      </c>
    </row>
    <row r="14">
      <c r="A14" t="n">
        <v>4877</v>
      </c>
      <c r="B14" t="inlineStr">
        <is>
          <t>CABLE COBRE AISLADO 7 HILOS AZUL 8 AWG</t>
        </is>
      </c>
      <c r="C14" t="inlineStr">
        <is>
          <t>Cableado</t>
        </is>
      </c>
      <c r="D14" t="inlineStr">
        <is>
          <t>General</t>
        </is>
      </c>
      <c r="E14" t="inlineStr">
        <is>
          <t>Metro</t>
        </is>
      </c>
      <c r="F14" t="inlineStr">
        <is>
          <t>Generico</t>
        </is>
      </c>
      <c r="G14" t="inlineStr">
        <is>
          <t>-</t>
        </is>
      </c>
      <c r="H14" t="inlineStr">
        <is>
          <t>-</t>
        </is>
      </c>
      <c r="I14" t="inlineStr">
        <is>
          <t>NO APLICA</t>
        </is>
      </c>
      <c r="J14" t="n">
        <v>5</v>
      </c>
      <c r="K14" t="inlineStr">
        <is>
          <t>Activo</t>
        </is>
      </c>
      <c r="L14" t="inlineStr">
        <is>
          <t>Cargue inicial oficial desde INVENTARIO.xlsx</t>
        </is>
      </c>
      <c r="M14" s="59" t="n">
        <v>46264</v>
      </c>
    </row>
    <row r="15">
      <c r="A15" t="n">
        <v>4887</v>
      </c>
      <c r="B15" t="inlineStr">
        <is>
          <t>CABLE COBRE AISLADO 7 HILOS BLANCO 8 AWG</t>
        </is>
      </c>
      <c r="C15" t="inlineStr">
        <is>
          <t>Cableado</t>
        </is>
      </c>
      <c r="D15" t="inlineStr">
        <is>
          <t>General</t>
        </is>
      </c>
      <c r="E15" t="inlineStr">
        <is>
          <t>Metro</t>
        </is>
      </c>
      <c r="F15" t="inlineStr">
        <is>
          <t>Generico</t>
        </is>
      </c>
      <c r="G15" t="inlineStr">
        <is>
          <t>-</t>
        </is>
      </c>
      <c r="H15" t="inlineStr">
        <is>
          <t>-</t>
        </is>
      </c>
      <c r="I15" t="inlineStr">
        <is>
          <t>NO APLICA</t>
        </is>
      </c>
      <c r="J15" t="n">
        <v>5</v>
      </c>
      <c r="K15" t="inlineStr">
        <is>
          <t>Activo</t>
        </is>
      </c>
      <c r="L15" t="inlineStr">
        <is>
          <t>Cargue inicial oficial desde INVENTARIO.xlsx</t>
        </is>
      </c>
      <c r="M15" s="59" t="n">
        <v>46264</v>
      </c>
    </row>
    <row r="16">
      <c r="A16" t="n">
        <v>4889</v>
      </c>
      <c r="B16" t="inlineStr">
        <is>
          <t>CABLE COBRE AISLADO 7 HILOS NEGRO 1/0 AWG</t>
        </is>
      </c>
      <c r="C16" t="inlineStr">
        <is>
          <t>Cableado</t>
        </is>
      </c>
      <c r="D16" t="inlineStr">
        <is>
          <t>General</t>
        </is>
      </c>
      <c r="E16" t="inlineStr">
        <is>
          <t>Metro</t>
        </is>
      </c>
      <c r="F16" t="inlineStr">
        <is>
          <t>Generico</t>
        </is>
      </c>
      <c r="G16" t="inlineStr">
        <is>
          <t>-</t>
        </is>
      </c>
      <c r="H16" t="inlineStr">
        <is>
          <t>-</t>
        </is>
      </c>
      <c r="I16" t="inlineStr">
        <is>
          <t>NO APLICA</t>
        </is>
      </c>
      <c r="J16" t="n">
        <v>5</v>
      </c>
      <c r="K16" t="inlineStr">
        <is>
          <t>Activo</t>
        </is>
      </c>
      <c r="L16" t="inlineStr">
        <is>
          <t>Cargue inicial oficial desde INVENTARIO.xlsx</t>
        </is>
      </c>
      <c r="M16" s="59" t="n">
        <v>46264</v>
      </c>
    </row>
    <row r="17">
      <c r="A17" t="n">
        <v>4894</v>
      </c>
      <c r="B17" t="inlineStr">
        <is>
          <t>CABLE COBRE AISLADO 7 HILOS NEGRO 12 AWG HF</t>
        </is>
      </c>
      <c r="C17" t="inlineStr">
        <is>
          <t>Cableado</t>
        </is>
      </c>
      <c r="D17" t="inlineStr">
        <is>
          <t>General</t>
        </is>
      </c>
      <c r="E17" t="inlineStr">
        <is>
          <t>Metro</t>
        </is>
      </c>
      <c r="F17" t="inlineStr">
        <is>
          <t>Generico</t>
        </is>
      </c>
      <c r="G17" t="inlineStr">
        <is>
          <t>-</t>
        </is>
      </c>
      <c r="H17" t="inlineStr">
        <is>
          <t>-</t>
        </is>
      </c>
      <c r="I17" t="inlineStr">
        <is>
          <t>NO APLICA</t>
        </is>
      </c>
      <c r="J17" t="n">
        <v>5</v>
      </c>
      <c r="K17" t="inlineStr">
        <is>
          <t>Activo</t>
        </is>
      </c>
      <c r="L17" t="inlineStr">
        <is>
          <t>Cargue inicial oficial desde INVENTARIO.xlsx</t>
        </is>
      </c>
      <c r="M17" s="59" t="n">
        <v>46264</v>
      </c>
    </row>
    <row r="18">
      <c r="A18" t="n">
        <v>4897</v>
      </c>
      <c r="B18" t="inlineStr">
        <is>
          <t>CABLE COBRE AISLADO 7 HILOS NEGRO 2 AWG</t>
        </is>
      </c>
      <c r="C18" t="inlineStr">
        <is>
          <t>Cableado</t>
        </is>
      </c>
      <c r="D18" t="inlineStr">
        <is>
          <t>General</t>
        </is>
      </c>
      <c r="E18" t="inlineStr">
        <is>
          <t>Metro</t>
        </is>
      </c>
      <c r="F18" t="inlineStr">
        <is>
          <t>Generico</t>
        </is>
      </c>
      <c r="G18" t="inlineStr">
        <is>
          <t>-</t>
        </is>
      </c>
      <c r="H18" t="inlineStr">
        <is>
          <t>-</t>
        </is>
      </c>
      <c r="I18" t="inlineStr">
        <is>
          <t>NO APLICA</t>
        </is>
      </c>
      <c r="J18" t="n">
        <v>5</v>
      </c>
      <c r="K18" t="inlineStr">
        <is>
          <t>Activo</t>
        </is>
      </c>
      <c r="L18" t="inlineStr">
        <is>
          <t>Cargue inicial oficial desde INVENTARIO.xlsx</t>
        </is>
      </c>
      <c r="M18" s="59" t="n">
        <v>46264</v>
      </c>
    </row>
    <row r="19">
      <c r="A19" t="n">
        <v>4901</v>
      </c>
      <c r="B19" t="inlineStr">
        <is>
          <t>CABLE COBRE AISLADO 7 HILOS NEGRO 4 AWG</t>
        </is>
      </c>
      <c r="C19" t="inlineStr">
        <is>
          <t>Cableado</t>
        </is>
      </c>
      <c r="D19" t="inlineStr">
        <is>
          <t>General</t>
        </is>
      </c>
      <c r="E19" t="inlineStr">
        <is>
          <t>Metro</t>
        </is>
      </c>
      <c r="F19" t="inlineStr">
        <is>
          <t>Generico</t>
        </is>
      </c>
      <c r="G19" t="inlineStr">
        <is>
          <t>-</t>
        </is>
      </c>
      <c r="H19" t="inlineStr">
        <is>
          <t>-</t>
        </is>
      </c>
      <c r="I19" t="inlineStr">
        <is>
          <t>NO APLICA</t>
        </is>
      </c>
      <c r="J19" t="n">
        <v>5</v>
      </c>
      <c r="K19" t="inlineStr">
        <is>
          <t>Activo</t>
        </is>
      </c>
      <c r="L19" t="inlineStr">
        <is>
          <t>Cargue inicial oficial desde INVENTARIO.xlsx</t>
        </is>
      </c>
      <c r="M19" s="59" t="n">
        <v>46264</v>
      </c>
    </row>
    <row r="20">
      <c r="A20" t="n">
        <v>4902</v>
      </c>
      <c r="B20" t="inlineStr">
        <is>
          <t>CABLE COBRE AISLADO 7 HILOS NEGRO 4 AWG HF</t>
        </is>
      </c>
      <c r="C20" t="inlineStr">
        <is>
          <t>Cableado</t>
        </is>
      </c>
      <c r="D20" t="inlineStr">
        <is>
          <t>General</t>
        </is>
      </c>
      <c r="E20" t="inlineStr">
        <is>
          <t>Metro</t>
        </is>
      </c>
      <c r="F20" t="inlineStr">
        <is>
          <t>Generico</t>
        </is>
      </c>
      <c r="G20" t="inlineStr">
        <is>
          <t>-</t>
        </is>
      </c>
      <c r="H20" t="inlineStr">
        <is>
          <t>-</t>
        </is>
      </c>
      <c r="I20" t="inlineStr">
        <is>
          <t>NO APLICA</t>
        </is>
      </c>
      <c r="J20" t="n">
        <v>5</v>
      </c>
      <c r="K20" t="inlineStr">
        <is>
          <t>Activo</t>
        </is>
      </c>
      <c r="L20" t="inlineStr">
        <is>
          <t>Cargue inicial oficial desde INVENTARIO.xlsx</t>
        </is>
      </c>
      <c r="M20" s="59" t="n">
        <v>46264</v>
      </c>
    </row>
    <row r="21">
      <c r="A21" t="n">
        <v>4905</v>
      </c>
      <c r="B21" t="inlineStr">
        <is>
          <t>CABLE COBRE AISLADO 7 HILOS NEGRO 6 AWG</t>
        </is>
      </c>
      <c r="C21" t="inlineStr">
        <is>
          <t>Cableado</t>
        </is>
      </c>
      <c r="D21" t="inlineStr">
        <is>
          <t>General</t>
        </is>
      </c>
      <c r="E21" t="inlineStr">
        <is>
          <t>Metro</t>
        </is>
      </c>
      <c r="F21" t="inlineStr">
        <is>
          <t>Generico</t>
        </is>
      </c>
      <c r="G21" t="inlineStr">
        <is>
          <t>-</t>
        </is>
      </c>
      <c r="H21" t="inlineStr">
        <is>
          <t>-</t>
        </is>
      </c>
      <c r="I21" t="inlineStr">
        <is>
          <t>NO APLICA</t>
        </is>
      </c>
      <c r="J21" t="n">
        <v>5</v>
      </c>
      <c r="K21" t="inlineStr">
        <is>
          <t>Activo</t>
        </is>
      </c>
      <c r="L21" t="inlineStr">
        <is>
          <t>Cargue inicial oficial desde INVENTARIO.xlsx</t>
        </is>
      </c>
      <c r="M21" s="59" t="n">
        <v>46264</v>
      </c>
    </row>
    <row r="22">
      <c r="A22" t="n">
        <v>4906</v>
      </c>
      <c r="B22" t="inlineStr">
        <is>
          <t>CABLE COBRE AISLADO 7 HILOS NEGRO 6 AWG HF</t>
        </is>
      </c>
      <c r="C22" t="inlineStr">
        <is>
          <t>Cableado</t>
        </is>
      </c>
      <c r="D22" t="inlineStr">
        <is>
          <t>General</t>
        </is>
      </c>
      <c r="E22" t="inlineStr">
        <is>
          <t>Metro</t>
        </is>
      </c>
      <c r="F22" t="inlineStr">
        <is>
          <t>Generico</t>
        </is>
      </c>
      <c r="G22" t="inlineStr">
        <is>
          <t>-</t>
        </is>
      </c>
      <c r="H22" t="inlineStr">
        <is>
          <t>-</t>
        </is>
      </c>
      <c r="I22" t="inlineStr">
        <is>
          <t>NO APLICA</t>
        </is>
      </c>
      <c r="J22" t="n">
        <v>5</v>
      </c>
      <c r="K22" t="inlineStr">
        <is>
          <t>Activo</t>
        </is>
      </c>
      <c r="L22" t="inlineStr">
        <is>
          <t>Cargue inicial oficial desde INVENTARIO.xlsx</t>
        </is>
      </c>
      <c r="M22" s="59" t="n">
        <v>46264</v>
      </c>
    </row>
    <row r="23">
      <c r="A23" t="n">
        <v>4907</v>
      </c>
      <c r="B23" t="inlineStr">
        <is>
          <t>CABLE COBRE AISLADO 7 HILOS NEGRO 8 AWG</t>
        </is>
      </c>
      <c r="C23" t="inlineStr">
        <is>
          <t>Cableado</t>
        </is>
      </c>
      <c r="D23" t="inlineStr">
        <is>
          <t>General</t>
        </is>
      </c>
      <c r="E23" t="inlineStr">
        <is>
          <t>Metro</t>
        </is>
      </c>
      <c r="F23" t="inlineStr">
        <is>
          <t>Generico</t>
        </is>
      </c>
      <c r="G23" t="inlineStr">
        <is>
          <t>-</t>
        </is>
      </c>
      <c r="H23" t="inlineStr">
        <is>
          <t>-</t>
        </is>
      </c>
      <c r="I23" t="inlineStr">
        <is>
          <t>NO APLICA</t>
        </is>
      </c>
      <c r="J23" t="n">
        <v>5</v>
      </c>
      <c r="K23" t="inlineStr">
        <is>
          <t>Activo</t>
        </is>
      </c>
      <c r="L23" t="inlineStr">
        <is>
          <t>Cargue inicial oficial desde INVENTARIO.xlsx</t>
        </is>
      </c>
      <c r="M23" s="59" t="n">
        <v>46264</v>
      </c>
    </row>
    <row r="24">
      <c r="A24" t="n">
        <v>4908</v>
      </c>
      <c r="B24" t="inlineStr">
        <is>
          <t>CABLE COBRE AISLADO 7 HILOS NEGRO 8 AWG HF</t>
        </is>
      </c>
      <c r="C24" t="inlineStr">
        <is>
          <t>Cableado</t>
        </is>
      </c>
      <c r="D24" t="inlineStr">
        <is>
          <t>General</t>
        </is>
      </c>
      <c r="E24" t="inlineStr">
        <is>
          <t>Metro</t>
        </is>
      </c>
      <c r="F24" t="inlineStr">
        <is>
          <t>Generico</t>
        </is>
      </c>
      <c r="G24" t="inlineStr">
        <is>
          <t>-</t>
        </is>
      </c>
      <c r="H24" t="inlineStr">
        <is>
          <t>-</t>
        </is>
      </c>
      <c r="I24" t="inlineStr">
        <is>
          <t>NO APLICA</t>
        </is>
      </c>
      <c r="J24" t="n">
        <v>5</v>
      </c>
      <c r="K24" t="inlineStr">
        <is>
          <t>Activo</t>
        </is>
      </c>
      <c r="L24" t="inlineStr">
        <is>
          <t>Cargue inicial oficial desde INVENTARIO.xlsx</t>
        </is>
      </c>
      <c r="M24" s="59" t="n">
        <v>46264</v>
      </c>
    </row>
    <row r="25">
      <c r="A25" t="n">
        <v>4909</v>
      </c>
      <c r="B25" t="inlineStr">
        <is>
          <t>CABLE COBRE AISLADO 7 HILOS ROJO 10 AWG</t>
        </is>
      </c>
      <c r="C25" t="inlineStr">
        <is>
          <t>Cableado</t>
        </is>
      </c>
      <c r="D25" t="inlineStr">
        <is>
          <t>General</t>
        </is>
      </c>
      <c r="E25" t="inlineStr">
        <is>
          <t>Metro</t>
        </is>
      </c>
      <c r="F25" t="inlineStr">
        <is>
          <t>Generico</t>
        </is>
      </c>
      <c r="G25" t="inlineStr">
        <is>
          <t>-</t>
        </is>
      </c>
      <c r="H25" t="inlineStr">
        <is>
          <t>-</t>
        </is>
      </c>
      <c r="I25" t="inlineStr">
        <is>
          <t>NO APLICA</t>
        </is>
      </c>
      <c r="J25" t="n">
        <v>5</v>
      </c>
      <c r="K25" t="inlineStr">
        <is>
          <t>Activo</t>
        </is>
      </c>
      <c r="L25" t="inlineStr">
        <is>
          <t>Cargue inicial oficial desde INVENTARIO.xlsx</t>
        </is>
      </c>
      <c r="M25" s="59" t="n">
        <v>46264</v>
      </c>
    </row>
    <row r="26">
      <c r="A26" t="n">
        <v>4915</v>
      </c>
      <c r="B26" t="inlineStr">
        <is>
          <t>CABLE COBRE AISLADO 7 HILOS ROJO 8 AWG</t>
        </is>
      </c>
      <c r="C26" t="inlineStr">
        <is>
          <t>Cableado</t>
        </is>
      </c>
      <c r="D26" t="inlineStr">
        <is>
          <t>General</t>
        </is>
      </c>
      <c r="E26" t="inlineStr">
        <is>
          <t>Metro</t>
        </is>
      </c>
      <c r="F26" t="inlineStr">
        <is>
          <t>Generico</t>
        </is>
      </c>
      <c r="G26" t="inlineStr">
        <is>
          <t>-</t>
        </is>
      </c>
      <c r="H26" t="inlineStr">
        <is>
          <t>-</t>
        </is>
      </c>
      <c r="I26" t="inlineStr">
        <is>
          <t>NO APLICA</t>
        </is>
      </c>
      <c r="J26" t="n">
        <v>5</v>
      </c>
      <c r="K26" t="inlineStr">
        <is>
          <t>Activo</t>
        </is>
      </c>
      <c r="L26" t="inlineStr">
        <is>
          <t>Cargue inicial oficial desde INVENTARIO.xlsx</t>
        </is>
      </c>
      <c r="M26" s="59" t="n">
        <v>46264</v>
      </c>
    </row>
    <row r="27">
      <c r="A27" t="n">
        <v>4918</v>
      </c>
      <c r="B27" t="inlineStr">
        <is>
          <t>CABLE COBRE AISLADO 7 HILOS VERDE 10 AWG HF</t>
        </is>
      </c>
      <c r="C27" t="inlineStr">
        <is>
          <t>Cableado</t>
        </is>
      </c>
      <c r="D27" t="inlineStr">
        <is>
          <t>General</t>
        </is>
      </c>
      <c r="E27" t="inlineStr">
        <is>
          <t>Metro</t>
        </is>
      </c>
      <c r="F27" t="inlineStr">
        <is>
          <t>Generico</t>
        </is>
      </c>
      <c r="G27" t="inlineStr">
        <is>
          <t>-</t>
        </is>
      </c>
      <c r="H27" t="inlineStr">
        <is>
          <t>-</t>
        </is>
      </c>
      <c r="I27" t="inlineStr">
        <is>
          <t>NO APLICA</t>
        </is>
      </c>
      <c r="J27" t="n">
        <v>5</v>
      </c>
      <c r="K27" t="inlineStr">
        <is>
          <t>Activo</t>
        </is>
      </c>
      <c r="L27" t="inlineStr">
        <is>
          <t>Cargue inicial oficial desde INVENTARIO.xlsx</t>
        </is>
      </c>
      <c r="M27" s="59" t="n">
        <v>46264</v>
      </c>
    </row>
    <row r="28">
      <c r="A28" t="n">
        <v>4925</v>
      </c>
      <c r="B28" t="inlineStr">
        <is>
          <t>CABLE COBRE AISLADO 7 HILOS VERDE 6 AWG</t>
        </is>
      </c>
      <c r="C28" t="inlineStr">
        <is>
          <t>Cableado</t>
        </is>
      </c>
      <c r="D28" t="inlineStr">
        <is>
          <t>General</t>
        </is>
      </c>
      <c r="E28" t="inlineStr">
        <is>
          <t>Metro</t>
        </is>
      </c>
      <c r="F28" t="inlineStr">
        <is>
          <t>Generico</t>
        </is>
      </c>
      <c r="G28" t="inlineStr">
        <is>
          <t>-</t>
        </is>
      </c>
      <c r="H28" t="inlineStr">
        <is>
          <t>-</t>
        </is>
      </c>
      <c r="I28" t="inlineStr">
        <is>
          <t>NO APLICA</t>
        </is>
      </c>
      <c r="J28" t="n">
        <v>5</v>
      </c>
      <c r="K28" t="inlineStr">
        <is>
          <t>Activo</t>
        </is>
      </c>
      <c r="L28" t="inlineStr">
        <is>
          <t>Cargue inicial oficial desde INVENTARIO.xlsx</t>
        </is>
      </c>
      <c r="M28" s="59" t="n">
        <v>46264</v>
      </c>
    </row>
    <row r="29">
      <c r="A29" t="n">
        <v>4927</v>
      </c>
      <c r="B29" t="inlineStr">
        <is>
          <t>CABLE COBRE AISLADO 7 HILOS VERDE 8 AWG</t>
        </is>
      </c>
      <c r="C29" t="inlineStr">
        <is>
          <t>Cableado</t>
        </is>
      </c>
      <c r="D29" t="inlineStr">
        <is>
          <t>General</t>
        </is>
      </c>
      <c r="E29" t="inlineStr">
        <is>
          <t>Metro</t>
        </is>
      </c>
      <c r="F29" t="inlineStr">
        <is>
          <t>Generico</t>
        </is>
      </c>
      <c r="G29" t="inlineStr">
        <is>
          <t>-</t>
        </is>
      </c>
      <c r="H29" t="inlineStr">
        <is>
          <t>-</t>
        </is>
      </c>
      <c r="I29" t="inlineStr">
        <is>
          <t>NO APLICA</t>
        </is>
      </c>
      <c r="J29" t="n">
        <v>5</v>
      </c>
      <c r="K29" t="inlineStr">
        <is>
          <t>Activo</t>
        </is>
      </c>
      <c r="L29" t="inlineStr">
        <is>
          <t>Cargue inicial oficial desde INVENTARIO.xlsx</t>
        </is>
      </c>
      <c r="M29" s="59" t="n">
        <v>46264</v>
      </c>
    </row>
    <row r="30">
      <c r="A30" t="n">
        <v>4931</v>
      </c>
      <c r="B30" t="inlineStr">
        <is>
          <t>CABLE COBRE DESNUDO 2 AWG</t>
        </is>
      </c>
      <c r="C30" t="inlineStr">
        <is>
          <t>Cableado</t>
        </is>
      </c>
      <c r="D30" t="inlineStr">
        <is>
          <t>General</t>
        </is>
      </c>
      <c r="E30" t="inlineStr">
        <is>
          <t>Metro</t>
        </is>
      </c>
      <c r="F30" t="inlineStr">
        <is>
          <t>Generico</t>
        </is>
      </c>
      <c r="G30" t="inlineStr">
        <is>
          <t>-</t>
        </is>
      </c>
      <c r="H30" t="inlineStr">
        <is>
          <t>-</t>
        </is>
      </c>
      <c r="I30" t="inlineStr">
        <is>
          <t>NO APLICA</t>
        </is>
      </c>
      <c r="J30" t="n">
        <v>5</v>
      </c>
      <c r="K30" t="inlineStr">
        <is>
          <t>Activo</t>
        </is>
      </c>
      <c r="L30" t="inlineStr">
        <is>
          <t>Cargue inicial oficial desde INVENTARIO.xlsx</t>
        </is>
      </c>
      <c r="M30" s="59" t="n">
        <v>46264</v>
      </c>
    </row>
    <row r="31">
      <c r="A31" t="n">
        <v>4934</v>
      </c>
      <c r="B31" t="inlineStr">
        <is>
          <t>CABLE COBRE DESNUDO 6 AWG</t>
        </is>
      </c>
      <c r="C31" t="inlineStr">
        <is>
          <t>Cableado</t>
        </is>
      </c>
      <c r="D31" t="inlineStr">
        <is>
          <t>General</t>
        </is>
      </c>
      <c r="E31" t="inlineStr">
        <is>
          <t>Metro</t>
        </is>
      </c>
      <c r="F31" t="inlineStr">
        <is>
          <t>Generico</t>
        </is>
      </c>
      <c r="G31" t="inlineStr">
        <is>
          <t>-</t>
        </is>
      </c>
      <c r="H31" t="inlineStr">
        <is>
          <t>-</t>
        </is>
      </c>
      <c r="I31" t="inlineStr">
        <is>
          <t>NO APLICA</t>
        </is>
      </c>
      <c r="J31" t="n">
        <v>5</v>
      </c>
      <c r="K31" t="inlineStr">
        <is>
          <t>Activo</t>
        </is>
      </c>
      <c r="L31" t="inlineStr">
        <is>
          <t>Cargue inicial oficial desde INVENTARIO.xlsx</t>
        </is>
      </c>
      <c r="M31" s="59" t="n">
        <v>46264</v>
      </c>
    </row>
    <row r="32">
      <c r="A32" t="n">
        <v>4935</v>
      </c>
      <c r="B32" t="inlineStr">
        <is>
          <t>CABLE COBRE DESNUDO 8 AWG</t>
        </is>
      </c>
      <c r="C32" t="inlineStr">
        <is>
          <t>Cableado</t>
        </is>
      </c>
      <c r="D32" t="inlineStr">
        <is>
          <t>General</t>
        </is>
      </c>
      <c r="E32" t="inlineStr">
        <is>
          <t>Metro</t>
        </is>
      </c>
      <c r="F32" t="inlineStr">
        <is>
          <t>Generico</t>
        </is>
      </c>
      <c r="G32" t="inlineStr">
        <is>
          <t>-</t>
        </is>
      </c>
      <c r="H32" t="inlineStr">
        <is>
          <t>-</t>
        </is>
      </c>
      <c r="I32" t="inlineStr">
        <is>
          <t>NO APLICA</t>
        </is>
      </c>
      <c r="J32" t="n">
        <v>5</v>
      </c>
      <c r="K32" t="inlineStr">
        <is>
          <t>Activo</t>
        </is>
      </c>
      <c r="L32" t="inlineStr">
        <is>
          <t>Cargue inicial oficial desde INVENTARIO.xlsx</t>
        </is>
      </c>
      <c r="M32" s="59" t="n">
        <v>46264</v>
      </c>
    </row>
    <row r="33">
      <c r="A33" t="n">
        <v>4947</v>
      </c>
      <c r="B33" t="inlineStr">
        <is>
          <t>CABLE ENCAUCHETADO 3X10 AWG</t>
        </is>
      </c>
      <c r="C33" t="inlineStr">
        <is>
          <t>Cableado</t>
        </is>
      </c>
      <c r="D33" t="inlineStr">
        <is>
          <t>General</t>
        </is>
      </c>
      <c r="E33" t="inlineStr">
        <is>
          <t>Metro</t>
        </is>
      </c>
      <c r="F33" t="inlineStr">
        <is>
          <t>Generico</t>
        </is>
      </c>
      <c r="G33" t="inlineStr">
        <is>
          <t>-</t>
        </is>
      </c>
      <c r="H33" t="inlineStr">
        <is>
          <t>-</t>
        </is>
      </c>
      <c r="I33" t="inlineStr">
        <is>
          <t>NO APLICA</t>
        </is>
      </c>
      <c r="J33" t="n">
        <v>5</v>
      </c>
      <c r="K33" t="inlineStr">
        <is>
          <t>Activo</t>
        </is>
      </c>
      <c r="L33" t="inlineStr">
        <is>
          <t>Cargue inicial oficial desde INVENTARIO.xlsx</t>
        </is>
      </c>
      <c r="M33" s="59" t="n">
        <v>46264</v>
      </c>
    </row>
    <row r="34">
      <c r="A34" t="n">
        <v>4948</v>
      </c>
      <c r="B34" t="inlineStr">
        <is>
          <t>CABLE ENCAUCHETADO 3X12 AWG</t>
        </is>
      </c>
      <c r="C34" t="inlineStr">
        <is>
          <t>Cableado</t>
        </is>
      </c>
      <c r="D34" t="inlineStr">
        <is>
          <t>General</t>
        </is>
      </c>
      <c r="E34" t="inlineStr">
        <is>
          <t>Metro</t>
        </is>
      </c>
      <c r="F34" t="inlineStr">
        <is>
          <t>Generico</t>
        </is>
      </c>
      <c r="G34" t="inlineStr">
        <is>
          <t>-</t>
        </is>
      </c>
      <c r="H34" t="inlineStr">
        <is>
          <t>-</t>
        </is>
      </c>
      <c r="I34" t="inlineStr">
        <is>
          <t>NO APLICA</t>
        </is>
      </c>
      <c r="J34" t="n">
        <v>5</v>
      </c>
      <c r="K34" t="inlineStr">
        <is>
          <t>Activo</t>
        </is>
      </c>
      <c r="L34" t="inlineStr">
        <is>
          <t>Cargue inicial oficial desde INVENTARIO.xlsx</t>
        </is>
      </c>
      <c r="M34" s="59" t="n">
        <v>46264</v>
      </c>
    </row>
    <row r="35">
      <c r="A35" t="n">
        <v>4949</v>
      </c>
      <c r="B35" t="inlineStr">
        <is>
          <t>CABLE ENCAUCHETADO 3X14 AWG</t>
        </is>
      </c>
      <c r="C35" t="inlineStr">
        <is>
          <t>Cableado</t>
        </is>
      </c>
      <c r="D35" t="inlineStr">
        <is>
          <t>General</t>
        </is>
      </c>
      <c r="E35" t="inlineStr">
        <is>
          <t>Metro</t>
        </is>
      </c>
      <c r="F35" t="inlineStr">
        <is>
          <t>Generico</t>
        </is>
      </c>
      <c r="G35" t="inlineStr">
        <is>
          <t>-</t>
        </is>
      </c>
      <c r="H35" t="inlineStr">
        <is>
          <t>-</t>
        </is>
      </c>
      <c r="I35" t="inlineStr">
        <is>
          <t>NO APLICA</t>
        </is>
      </c>
      <c r="J35" t="n">
        <v>5</v>
      </c>
      <c r="K35" t="inlineStr">
        <is>
          <t>Activo</t>
        </is>
      </c>
      <c r="L35" t="inlineStr">
        <is>
          <t>Cargue inicial oficial desde INVENTARIO.xlsx</t>
        </is>
      </c>
      <c r="M35" s="59" t="n">
        <v>46264</v>
      </c>
    </row>
    <row r="36">
      <c r="A36" t="n">
        <v>4951</v>
      </c>
      <c r="B36" t="inlineStr">
        <is>
          <t>CABLE ENCAUCHETADO 3X8 AWG</t>
        </is>
      </c>
      <c r="C36" t="inlineStr">
        <is>
          <t>Cableado</t>
        </is>
      </c>
      <c r="D36" t="inlineStr">
        <is>
          <t>General</t>
        </is>
      </c>
      <c r="E36" t="inlineStr">
        <is>
          <t>Metro</t>
        </is>
      </c>
      <c r="F36" t="inlineStr">
        <is>
          <t>Generico</t>
        </is>
      </c>
      <c r="G36" t="inlineStr">
        <is>
          <t>-</t>
        </is>
      </c>
      <c r="H36" t="inlineStr">
        <is>
          <t>-</t>
        </is>
      </c>
      <c r="I36" t="inlineStr">
        <is>
          <t>NO APLICA</t>
        </is>
      </c>
      <c r="J36" t="n">
        <v>5</v>
      </c>
      <c r="K36" t="inlineStr">
        <is>
          <t>Activo</t>
        </is>
      </c>
      <c r="L36" t="inlineStr">
        <is>
          <t>Cargue inicial oficial desde INVENTARIO.xlsx</t>
        </is>
      </c>
      <c r="M36" s="59" t="n">
        <v>46264</v>
      </c>
    </row>
    <row r="37">
      <c r="A37" t="n">
        <v>4982</v>
      </c>
      <c r="B37" t="inlineStr">
        <is>
          <t>CABLE INSTRUMENTACION APANTALLADO 4X18 AWG</t>
        </is>
      </c>
      <c r="C37" t="inlineStr">
        <is>
          <t>Cableado</t>
        </is>
      </c>
      <c r="D37" t="inlineStr">
        <is>
          <t>General</t>
        </is>
      </c>
      <c r="E37" t="inlineStr">
        <is>
          <t>Metro</t>
        </is>
      </c>
      <c r="F37" t="inlineStr">
        <is>
          <t>Generico</t>
        </is>
      </c>
      <c r="G37" t="inlineStr">
        <is>
          <t>-</t>
        </is>
      </c>
      <c r="H37" t="inlineStr">
        <is>
          <t>-</t>
        </is>
      </c>
      <c r="I37" t="inlineStr">
        <is>
          <t>NO APLICA</t>
        </is>
      </c>
      <c r="J37" t="n">
        <v>5</v>
      </c>
      <c r="K37" t="inlineStr">
        <is>
          <t>Activo</t>
        </is>
      </c>
      <c r="L37" t="inlineStr">
        <is>
          <t>Cargue inicial oficial desde INVENTARIO.xlsx</t>
        </is>
      </c>
      <c r="M37" s="59" t="n">
        <v>46264</v>
      </c>
    </row>
    <row r="38">
      <c r="A38" t="n">
        <v>4989</v>
      </c>
      <c r="B38" t="inlineStr">
        <is>
          <t>CABLE SOLAR NEGRO 1KV 6MM HF</t>
        </is>
      </c>
      <c r="C38" t="inlineStr">
        <is>
          <t>Cableado</t>
        </is>
      </c>
      <c r="D38" t="inlineStr">
        <is>
          <t>General</t>
        </is>
      </c>
      <c r="E38" t="inlineStr">
        <is>
          <t>Metro</t>
        </is>
      </c>
      <c r="F38" t="inlineStr">
        <is>
          <t>Generico</t>
        </is>
      </c>
      <c r="G38" t="inlineStr">
        <is>
          <t>-</t>
        </is>
      </c>
      <c r="H38" t="inlineStr">
        <is>
          <t>-</t>
        </is>
      </c>
      <c r="I38" t="inlineStr">
        <is>
          <t>NO APLICA</t>
        </is>
      </c>
      <c r="J38" t="n">
        <v>5</v>
      </c>
      <c r="K38" t="inlineStr">
        <is>
          <t>Activo</t>
        </is>
      </c>
      <c r="L38" t="inlineStr">
        <is>
          <t>Cargue inicial oficial desde INVENTARIO.xlsx</t>
        </is>
      </c>
      <c r="M38" s="59" t="n">
        <v>46264</v>
      </c>
    </row>
    <row r="39">
      <c r="A39" t="n">
        <v>4991</v>
      </c>
      <c r="B39" t="inlineStr">
        <is>
          <t>CABLE SOLAR ROJO 1KV 6MM HF</t>
        </is>
      </c>
      <c r="C39" t="inlineStr">
        <is>
          <t>Cableado</t>
        </is>
      </c>
      <c r="D39" t="inlineStr">
        <is>
          <t>General</t>
        </is>
      </c>
      <c r="E39" t="inlineStr">
        <is>
          <t>Metro</t>
        </is>
      </c>
      <c r="F39" t="inlineStr">
        <is>
          <t>Generico</t>
        </is>
      </c>
      <c r="G39" t="inlineStr">
        <is>
          <t>-</t>
        </is>
      </c>
      <c r="H39" t="inlineStr">
        <is>
          <t>-</t>
        </is>
      </c>
      <c r="I39" t="inlineStr">
        <is>
          <t>NO APLICA</t>
        </is>
      </c>
      <c r="J39" t="n">
        <v>5</v>
      </c>
      <c r="K39" t="inlineStr">
        <is>
          <t>Activo</t>
        </is>
      </c>
      <c r="L39" t="inlineStr">
        <is>
          <t>Cargue inicial oficial desde INVENTARIO.xlsx</t>
        </is>
      </c>
      <c r="M39" s="59" t="n">
        <v>46264</v>
      </c>
    </row>
    <row r="40">
      <c r="A40" t="n">
        <v>4993</v>
      </c>
      <c r="B40" t="inlineStr">
        <is>
          <t>CABLE SOLDADOR 2 AWG</t>
        </is>
      </c>
      <c r="C40" t="inlineStr">
        <is>
          <t>Cableado</t>
        </is>
      </c>
      <c r="D40" t="inlineStr">
        <is>
          <t>General</t>
        </is>
      </c>
      <c r="E40" t="inlineStr">
        <is>
          <t>Metro</t>
        </is>
      </c>
      <c r="F40" t="inlineStr">
        <is>
          <t>Generico</t>
        </is>
      </c>
      <c r="G40" t="inlineStr">
        <is>
          <t>-</t>
        </is>
      </c>
      <c r="H40" t="inlineStr">
        <is>
          <t>-</t>
        </is>
      </c>
      <c r="I40" t="inlineStr">
        <is>
          <t>NO APLICA</t>
        </is>
      </c>
      <c r="J40" t="n">
        <v>5</v>
      </c>
      <c r="K40" t="inlineStr">
        <is>
          <t>Activo</t>
        </is>
      </c>
      <c r="L40" t="inlineStr">
        <is>
          <t>Cargue inicial oficial desde INVENTARIO.xlsx</t>
        </is>
      </c>
      <c r="M40" s="59" t="n">
        <v>46264</v>
      </c>
    </row>
    <row r="41">
      <c r="A41" t="n">
        <v>5210</v>
      </c>
      <c r="B41" t="inlineStr">
        <is>
          <t>CONECTOR MC4 HEMBRA</t>
        </is>
      </c>
      <c r="C41" t="inlineStr">
        <is>
          <t>Materiales</t>
        </is>
      </c>
      <c r="D41" t="inlineStr">
        <is>
          <t>General</t>
        </is>
      </c>
      <c r="E41" t="inlineStr">
        <is>
          <t>Unidad</t>
        </is>
      </c>
      <c r="F41" t="inlineStr">
        <is>
          <t>Generico</t>
        </is>
      </c>
      <c r="G41" t="inlineStr">
        <is>
          <t>-</t>
        </is>
      </c>
      <c r="H41" t="inlineStr">
        <is>
          <t>-</t>
        </is>
      </c>
      <c r="I41" t="inlineStr">
        <is>
          <t>NO APLICA</t>
        </is>
      </c>
      <c r="J41" t="n">
        <v>5</v>
      </c>
      <c r="K41" t="inlineStr">
        <is>
          <t>Activo</t>
        </is>
      </c>
      <c r="L41" t="inlineStr">
        <is>
          <t>Cargue inicial oficial desde INVENTARIO.xlsx</t>
        </is>
      </c>
      <c r="M41" s="59" t="n">
        <v>46264</v>
      </c>
    </row>
    <row r="42">
      <c r="A42" t="n">
        <v>5211</v>
      </c>
      <c r="B42" t="inlineStr">
        <is>
          <t>CONECTOR MC4 MACHO</t>
        </is>
      </c>
      <c r="C42" t="inlineStr">
        <is>
          <t>Materiales</t>
        </is>
      </c>
      <c r="D42" t="inlineStr">
        <is>
          <t>General</t>
        </is>
      </c>
      <c r="E42" t="inlineStr">
        <is>
          <t>Unidad</t>
        </is>
      </c>
      <c r="F42" t="inlineStr">
        <is>
          <t>Generico</t>
        </is>
      </c>
      <c r="G42" t="inlineStr">
        <is>
          <t>-</t>
        </is>
      </c>
      <c r="H42" t="inlineStr">
        <is>
          <t>-</t>
        </is>
      </c>
      <c r="I42" t="inlineStr">
        <is>
          <t>NO APLICA</t>
        </is>
      </c>
      <c r="J42" t="n">
        <v>5</v>
      </c>
      <c r="K42" t="inlineStr">
        <is>
          <t>Activo</t>
        </is>
      </c>
      <c r="L42" t="inlineStr">
        <is>
          <t>Cargue inicial oficial desde INVENTARIO.xlsx</t>
        </is>
      </c>
      <c r="M42" s="59" t="n">
        <v>46264</v>
      </c>
    </row>
    <row r="43">
      <c r="A43" t="n">
        <v>5216</v>
      </c>
      <c r="B43" t="inlineStr">
        <is>
          <t>CONECTOR TUBULAR BARRIL 2/0 AWG</t>
        </is>
      </c>
      <c r="C43" t="inlineStr">
        <is>
          <t>Materiales</t>
        </is>
      </c>
      <c r="D43" t="inlineStr">
        <is>
          <t>General</t>
        </is>
      </c>
      <c r="E43" t="inlineStr">
        <is>
          <t>Unidad</t>
        </is>
      </c>
      <c r="F43" t="inlineStr">
        <is>
          <t>Generico</t>
        </is>
      </c>
      <c r="G43" t="inlineStr">
        <is>
          <t>-</t>
        </is>
      </c>
      <c r="H43" t="inlineStr">
        <is>
          <t>-</t>
        </is>
      </c>
      <c r="I43" t="inlineStr">
        <is>
          <t>NO APLICA</t>
        </is>
      </c>
      <c r="J43" t="n">
        <v>5</v>
      </c>
      <c r="K43" t="inlineStr">
        <is>
          <t>Activo</t>
        </is>
      </c>
      <c r="L43" t="inlineStr">
        <is>
          <t>Cargue inicial oficial desde INVENTARIO.xlsx</t>
        </is>
      </c>
      <c r="M43" s="59" t="n">
        <v>46264</v>
      </c>
    </row>
    <row r="44">
      <c r="A44" t="n">
        <v>5223</v>
      </c>
      <c r="B44" t="inlineStr">
        <is>
          <t>TERMINAL OJO 1/0 AWG HUECO 3/8"</t>
        </is>
      </c>
      <c r="C44" t="inlineStr">
        <is>
          <t>Elementos electricos</t>
        </is>
      </c>
      <c r="D44" t="inlineStr">
        <is>
          <t>General</t>
        </is>
      </c>
      <c r="E44" t="inlineStr">
        <is>
          <t>Unidad</t>
        </is>
      </c>
      <c r="F44" t="inlineStr">
        <is>
          <t>Generico</t>
        </is>
      </c>
      <c r="G44" t="inlineStr">
        <is>
          <t>-</t>
        </is>
      </c>
      <c r="H44" t="inlineStr">
        <is>
          <t>-</t>
        </is>
      </c>
      <c r="I44" t="inlineStr">
        <is>
          <t>NO APLICA</t>
        </is>
      </c>
      <c r="J44" t="n">
        <v>5</v>
      </c>
      <c r="K44" t="inlineStr">
        <is>
          <t>Activo</t>
        </is>
      </c>
      <c r="L44" t="inlineStr">
        <is>
          <t>Cargue inicial oficial desde INVENTARIO.xlsx</t>
        </is>
      </c>
      <c r="M44" s="59" t="n">
        <v>46264</v>
      </c>
    </row>
    <row r="45">
      <c r="A45" t="n">
        <v>5227</v>
      </c>
      <c r="B45" t="inlineStr">
        <is>
          <t>TERMINAL OJO 2 AWG HUECO 5/16"</t>
        </is>
      </c>
      <c r="C45" t="inlineStr">
        <is>
          <t>Elementos electricos</t>
        </is>
      </c>
      <c r="D45" t="inlineStr">
        <is>
          <t>General</t>
        </is>
      </c>
      <c r="E45" t="inlineStr">
        <is>
          <t>Unidad</t>
        </is>
      </c>
      <c r="F45" t="inlineStr">
        <is>
          <t>Generico</t>
        </is>
      </c>
      <c r="G45" t="inlineStr">
        <is>
          <t>-</t>
        </is>
      </c>
      <c r="H45" t="inlineStr">
        <is>
          <t>-</t>
        </is>
      </c>
      <c r="I45" t="inlineStr">
        <is>
          <t>NO APLICA</t>
        </is>
      </c>
      <c r="J45" t="n">
        <v>5</v>
      </c>
      <c r="K45" t="inlineStr">
        <is>
          <t>Activo</t>
        </is>
      </c>
      <c r="L45" t="inlineStr">
        <is>
          <t>Cargue inicial oficial desde INVENTARIO.xlsx</t>
        </is>
      </c>
      <c r="M45" s="59" t="n">
        <v>46264</v>
      </c>
    </row>
    <row r="46">
      <c r="A46" t="n">
        <v>5234</v>
      </c>
      <c r="B46" t="inlineStr">
        <is>
          <t>TERMINAL OJO 4/0 AWG HUECO 3/8"</t>
        </is>
      </c>
      <c r="C46" t="inlineStr">
        <is>
          <t>Elementos electricos</t>
        </is>
      </c>
      <c r="D46" t="inlineStr">
        <is>
          <t>General</t>
        </is>
      </c>
      <c r="E46" t="inlineStr">
        <is>
          <t>Unidad</t>
        </is>
      </c>
      <c r="F46" t="inlineStr">
        <is>
          <t>Generico</t>
        </is>
      </c>
      <c r="G46" t="inlineStr">
        <is>
          <t>-</t>
        </is>
      </c>
      <c r="H46" t="inlineStr">
        <is>
          <t>-</t>
        </is>
      </c>
      <c r="I46" t="inlineStr">
        <is>
          <t>NO APLICA</t>
        </is>
      </c>
      <c r="J46" t="n">
        <v>5</v>
      </c>
      <c r="K46" t="inlineStr">
        <is>
          <t>Activo</t>
        </is>
      </c>
      <c r="L46" t="inlineStr">
        <is>
          <t>Cargue inicial oficial desde INVENTARIO.xlsx</t>
        </is>
      </c>
      <c r="M46" s="59" t="n">
        <v>46264</v>
      </c>
    </row>
    <row r="47">
      <c r="A47" t="n">
        <v>5235</v>
      </c>
      <c r="B47" t="inlineStr">
        <is>
          <t>TERMINAL OJO 4/0 AWG HUECO 5/16"</t>
        </is>
      </c>
      <c r="C47" t="inlineStr">
        <is>
          <t>Elementos electricos</t>
        </is>
      </c>
      <c r="D47" t="inlineStr">
        <is>
          <t>General</t>
        </is>
      </c>
      <c r="E47" t="inlineStr">
        <is>
          <t>Unidad</t>
        </is>
      </c>
      <c r="F47" t="inlineStr">
        <is>
          <t>Generico</t>
        </is>
      </c>
      <c r="G47" t="inlineStr">
        <is>
          <t>-</t>
        </is>
      </c>
      <c r="H47" t="inlineStr">
        <is>
          <t>-</t>
        </is>
      </c>
      <c r="I47" t="inlineStr">
        <is>
          <t>NO APLICA</t>
        </is>
      </c>
      <c r="J47" t="n">
        <v>5</v>
      </c>
      <c r="K47" t="inlineStr">
        <is>
          <t>Activo</t>
        </is>
      </c>
      <c r="L47" t="inlineStr">
        <is>
          <t>Cargue inicial oficial desde INVENTARIO.xlsx</t>
        </is>
      </c>
      <c r="M47" s="59" t="n">
        <v>46264</v>
      </c>
    </row>
    <row r="48">
      <c r="A48" t="n">
        <v>5237</v>
      </c>
      <c r="B48" t="inlineStr">
        <is>
          <t>TERMINAL OJO 6 AWG HUECO 5/16"</t>
        </is>
      </c>
      <c r="C48" t="inlineStr">
        <is>
          <t>Elementos electricos</t>
        </is>
      </c>
      <c r="D48" t="inlineStr">
        <is>
          <t>General</t>
        </is>
      </c>
      <c r="E48" t="inlineStr">
        <is>
          <t>Unidad</t>
        </is>
      </c>
      <c r="F48" t="inlineStr">
        <is>
          <t>Generico</t>
        </is>
      </c>
      <c r="G48" t="inlineStr">
        <is>
          <t>-</t>
        </is>
      </c>
      <c r="H48" t="inlineStr">
        <is>
          <t>-</t>
        </is>
      </c>
      <c r="I48" t="inlineStr">
        <is>
          <t>NO APLICA</t>
        </is>
      </c>
      <c r="J48" t="n">
        <v>5</v>
      </c>
      <c r="K48" t="inlineStr">
        <is>
          <t>Activo</t>
        </is>
      </c>
      <c r="L48" t="inlineStr">
        <is>
          <t>Cargue inicial oficial desde INVENTARIO.xlsx</t>
        </is>
      </c>
      <c r="M48" s="59" t="n">
        <v>46264</v>
      </c>
    </row>
    <row r="49">
      <c r="A49" t="n">
        <v>5239</v>
      </c>
      <c r="B49" t="inlineStr">
        <is>
          <t>TERMINAL OJO 8 AWG HUECO 5/16"</t>
        </is>
      </c>
      <c r="C49" t="inlineStr">
        <is>
          <t>Elementos electricos</t>
        </is>
      </c>
      <c r="D49" t="inlineStr">
        <is>
          <t>General</t>
        </is>
      </c>
      <c r="E49" t="inlineStr">
        <is>
          <t>Unidad</t>
        </is>
      </c>
      <c r="F49" t="inlineStr">
        <is>
          <t>Generico</t>
        </is>
      </c>
      <c r="G49" t="inlineStr">
        <is>
          <t>-</t>
        </is>
      </c>
      <c r="H49" t="inlineStr">
        <is>
          <t>-</t>
        </is>
      </c>
      <c r="I49" t="inlineStr">
        <is>
          <t>NO APLICA</t>
        </is>
      </c>
      <c r="J49" t="n">
        <v>5</v>
      </c>
      <c r="K49" t="inlineStr">
        <is>
          <t>Activo</t>
        </is>
      </c>
      <c r="L49" t="inlineStr">
        <is>
          <t>Cargue inicial oficial desde INVENTARIO.xlsx</t>
        </is>
      </c>
      <c r="M49" s="59" t="n">
        <v>46264</v>
      </c>
    </row>
    <row r="50">
      <c r="A50" t="n">
        <v>5249</v>
      </c>
      <c r="B50" t="inlineStr">
        <is>
          <t>TERMINAL PIN HUECO 10 AWG</t>
        </is>
      </c>
      <c r="C50" t="inlineStr">
        <is>
          <t>Elementos electricos</t>
        </is>
      </c>
      <c r="D50" t="inlineStr">
        <is>
          <t>General</t>
        </is>
      </c>
      <c r="E50" t="inlineStr">
        <is>
          <t>Unidad</t>
        </is>
      </c>
      <c r="F50" t="inlineStr">
        <is>
          <t>Generico</t>
        </is>
      </c>
      <c r="G50" t="inlineStr">
        <is>
          <t>-</t>
        </is>
      </c>
      <c r="H50" t="inlineStr">
        <is>
          <t>-</t>
        </is>
      </c>
      <c r="I50" t="inlineStr">
        <is>
          <t>NO APLICA</t>
        </is>
      </c>
      <c r="J50" t="n">
        <v>5</v>
      </c>
      <c r="K50" t="inlineStr">
        <is>
          <t>Activo</t>
        </is>
      </c>
      <c r="L50" t="inlineStr">
        <is>
          <t>Cargue inicial oficial desde INVENTARIO.xlsx</t>
        </is>
      </c>
      <c r="M50" s="59" t="n">
        <v>46264</v>
      </c>
    </row>
    <row r="51">
      <c r="A51" t="n">
        <v>5250</v>
      </c>
      <c r="B51" t="inlineStr">
        <is>
          <t>TERMINAL PIN HUECO 6 AWG</t>
        </is>
      </c>
      <c r="C51" t="inlineStr">
        <is>
          <t>Elementos electricos</t>
        </is>
      </c>
      <c r="D51" t="inlineStr">
        <is>
          <t>General</t>
        </is>
      </c>
      <c r="E51" t="inlineStr">
        <is>
          <t>Unidad</t>
        </is>
      </c>
      <c r="F51" t="inlineStr">
        <is>
          <t>Generico</t>
        </is>
      </c>
      <c r="G51" t="inlineStr">
        <is>
          <t>-</t>
        </is>
      </c>
      <c r="H51" t="inlineStr">
        <is>
          <t>-</t>
        </is>
      </c>
      <c r="I51" t="inlineStr">
        <is>
          <t>NO APLICA</t>
        </is>
      </c>
      <c r="J51" t="n">
        <v>5</v>
      </c>
      <c r="K51" t="inlineStr">
        <is>
          <t>Activo</t>
        </is>
      </c>
      <c r="L51" t="inlineStr">
        <is>
          <t>Cargue inicial oficial desde INVENTARIO.xlsx</t>
        </is>
      </c>
      <c r="M51" s="59" t="n">
        <v>46264</v>
      </c>
    </row>
    <row r="52">
      <c r="A52" t="n">
        <v>5251</v>
      </c>
      <c r="B52" t="inlineStr">
        <is>
          <t>TERMINAL PIN HUECO 8 AWG</t>
        </is>
      </c>
      <c r="C52" t="inlineStr">
        <is>
          <t>Elementos electricos</t>
        </is>
      </c>
      <c r="D52" t="inlineStr">
        <is>
          <t>General</t>
        </is>
      </c>
      <c r="E52" t="inlineStr">
        <is>
          <t>Unidad</t>
        </is>
      </c>
      <c r="F52" t="inlineStr">
        <is>
          <t>Generico</t>
        </is>
      </c>
      <c r="G52" t="inlineStr">
        <is>
          <t>-</t>
        </is>
      </c>
      <c r="H52" t="inlineStr">
        <is>
          <t>-</t>
        </is>
      </c>
      <c r="I52" t="inlineStr">
        <is>
          <t>NO APLICA</t>
        </is>
      </c>
      <c r="J52" t="n">
        <v>5</v>
      </c>
      <c r="K52" t="inlineStr">
        <is>
          <t>Activo</t>
        </is>
      </c>
      <c r="L52" t="inlineStr">
        <is>
          <t>Cargue inicial oficial desde INVENTARIO.xlsx</t>
        </is>
      </c>
      <c r="M52" s="59" t="n">
        <v>46264</v>
      </c>
    </row>
    <row r="53">
      <c r="A53" t="n">
        <v>5359</v>
      </c>
      <c r="B53" t="inlineStr">
        <is>
          <t>BARRA DE COBRE</t>
        </is>
      </c>
      <c r="C53" t="inlineStr">
        <is>
          <t>Materiales</t>
        </is>
      </c>
      <c r="D53" t="inlineStr">
        <is>
          <t>General</t>
        </is>
      </c>
      <c r="E53" t="inlineStr">
        <is>
          <t>Unidad</t>
        </is>
      </c>
      <c r="F53" t="inlineStr">
        <is>
          <t>Generico</t>
        </is>
      </c>
      <c r="G53" t="inlineStr">
        <is>
          <t>-</t>
        </is>
      </c>
      <c r="H53" t="inlineStr">
        <is>
          <t>-</t>
        </is>
      </c>
      <c r="I53" t="inlineStr">
        <is>
          <t>NO APLICA</t>
        </is>
      </c>
      <c r="J53" t="n">
        <v>5</v>
      </c>
      <c r="K53" t="inlineStr">
        <is>
          <t>Activo</t>
        </is>
      </c>
      <c r="L53" t="inlineStr">
        <is>
          <t>Cargue inicial oficial desde INVENTARIO.xlsx</t>
        </is>
      </c>
      <c r="M53" s="59" t="n">
        <v>46264</v>
      </c>
    </row>
    <row r="54">
      <c r="A54" t="n">
        <v>5360</v>
      </c>
      <c r="B54" t="inlineStr">
        <is>
          <t>BARRA DE COBRE CON AISLADORES</t>
        </is>
      </c>
      <c r="C54" t="inlineStr">
        <is>
          <t>Materiales</t>
        </is>
      </c>
      <c r="D54" t="inlineStr">
        <is>
          <t>General</t>
        </is>
      </c>
      <c r="E54" t="inlineStr">
        <is>
          <t>Unidad</t>
        </is>
      </c>
      <c r="F54" t="inlineStr">
        <is>
          <t>Generico</t>
        </is>
      </c>
      <c r="G54" t="inlineStr">
        <is>
          <t>-</t>
        </is>
      </c>
      <c r="H54" t="inlineStr">
        <is>
          <t>-</t>
        </is>
      </c>
      <c r="I54" t="inlineStr">
        <is>
          <t>NO APLICA</t>
        </is>
      </c>
      <c r="J54" t="n">
        <v>5</v>
      </c>
      <c r="K54" t="inlineStr">
        <is>
          <t>Activo</t>
        </is>
      </c>
      <c r="L54" t="inlineStr">
        <is>
          <t>Cargue inicial oficial desde INVENTARIO.xlsx</t>
        </is>
      </c>
      <c r="M54" s="59" t="n">
        <v>46264</v>
      </c>
    </row>
    <row r="55">
      <c r="A55" t="n">
        <v>5361</v>
      </c>
      <c r="B55" t="inlineStr">
        <is>
          <t>BARRA DE COBRE ESCALONADA</t>
        </is>
      </c>
      <c r="C55" t="inlineStr">
        <is>
          <t>Materiales</t>
        </is>
      </c>
      <c r="D55" t="inlineStr">
        <is>
          <t>General</t>
        </is>
      </c>
      <c r="E55" t="inlineStr">
        <is>
          <t>Unidad</t>
        </is>
      </c>
      <c r="F55" t="inlineStr">
        <is>
          <t>Generico</t>
        </is>
      </c>
      <c r="G55" t="inlineStr">
        <is>
          <t>-</t>
        </is>
      </c>
      <c r="H55" t="inlineStr">
        <is>
          <t>-</t>
        </is>
      </c>
      <c r="I55" t="inlineStr">
        <is>
          <t>NO APLICA</t>
        </is>
      </c>
      <c r="J55" t="n">
        <v>5</v>
      </c>
      <c r="K55" t="inlineStr">
        <is>
          <t>Activo</t>
        </is>
      </c>
      <c r="L55" t="inlineStr">
        <is>
          <t>Cargue inicial oficial desde INVENTARIO.xlsx</t>
        </is>
      </c>
      <c r="M55" s="59" t="n">
        <v>46264</v>
      </c>
    </row>
    <row r="56">
      <c r="A56" t="n">
        <v>5366</v>
      </c>
      <c r="B56" t="inlineStr">
        <is>
          <t>CAJA CON TAPA PARA TOMA 12X12X5 TERCOL</t>
        </is>
      </c>
      <c r="C56" t="inlineStr">
        <is>
          <t>Elementos electricos</t>
        </is>
      </c>
      <c r="D56" t="inlineStr">
        <is>
          <t>General</t>
        </is>
      </c>
      <c r="E56" t="inlineStr">
        <is>
          <t>Caja</t>
        </is>
      </c>
      <c r="F56" t="inlineStr">
        <is>
          <t>Generico</t>
        </is>
      </c>
      <c r="G56" t="inlineStr">
        <is>
          <t>-</t>
        </is>
      </c>
      <c r="H56" t="inlineStr">
        <is>
          <t>B2</t>
        </is>
      </c>
      <c r="I56" t="inlineStr">
        <is>
          <t>NO APLICA</t>
        </is>
      </c>
      <c r="J56" t="n">
        <v>5</v>
      </c>
      <c r="K56" t="inlineStr">
        <is>
          <t>Activo</t>
        </is>
      </c>
      <c r="L56" t="inlineStr">
        <is>
          <t>Cargue inicial oficial desde INVENTARIO.xlsx</t>
        </is>
      </c>
      <c r="M56" s="59" t="n">
        <v>46264</v>
      </c>
    </row>
    <row r="57">
      <c r="A57" t="n">
        <v>5369</v>
      </c>
      <c r="B57" t="inlineStr">
        <is>
          <t>CAJA DE PASO METALICA 20X20X10</t>
        </is>
      </c>
      <c r="C57" t="inlineStr">
        <is>
          <t>Materiales</t>
        </is>
      </c>
      <c r="D57" t="inlineStr">
        <is>
          <t>General</t>
        </is>
      </c>
      <c r="E57" t="inlineStr">
        <is>
          <t>Caja</t>
        </is>
      </c>
      <c r="F57" t="inlineStr">
        <is>
          <t>Generico</t>
        </is>
      </c>
      <c r="G57" t="inlineStr">
        <is>
          <t>-</t>
        </is>
      </c>
      <c r="H57" t="inlineStr">
        <is>
          <t>-</t>
        </is>
      </c>
      <c r="I57" t="inlineStr">
        <is>
          <t>NO APLICA</t>
        </is>
      </c>
      <c r="J57" t="n">
        <v>5</v>
      </c>
      <c r="K57" t="inlineStr">
        <is>
          <t>Activo</t>
        </is>
      </c>
      <c r="L57" t="inlineStr">
        <is>
          <t>Cargue inicial oficial desde INVENTARIO.xlsx</t>
        </is>
      </c>
      <c r="M57" s="59" t="n">
        <v>46264</v>
      </c>
    </row>
    <row r="58">
      <c r="A58" t="n">
        <v>5387</v>
      </c>
      <c r="B58" t="inlineStr">
        <is>
          <t>CAJA POLICARBONATO 30X22X12 IP55 STECK</t>
        </is>
      </c>
      <c r="C58" t="inlineStr">
        <is>
          <t>Materiales</t>
        </is>
      </c>
      <c r="D58" t="inlineStr">
        <is>
          <t>General</t>
        </is>
      </c>
      <c r="E58" t="inlineStr">
        <is>
          <t>Caja</t>
        </is>
      </c>
      <c r="F58" t="inlineStr">
        <is>
          <t>Generico</t>
        </is>
      </c>
      <c r="G58" t="inlineStr">
        <is>
          <t>-</t>
        </is>
      </c>
      <c r="H58" t="inlineStr">
        <is>
          <t>-</t>
        </is>
      </c>
      <c r="I58" t="inlineStr">
        <is>
          <t>NO APLICA</t>
        </is>
      </c>
      <c r="J58" t="n">
        <v>5</v>
      </c>
      <c r="K58" t="inlineStr">
        <is>
          <t>Activo</t>
        </is>
      </c>
      <c r="L58" t="inlineStr">
        <is>
          <t>Cargue inicial oficial desde INVENTARIO.xlsx</t>
        </is>
      </c>
      <c r="M58" s="59" t="n">
        <v>46264</v>
      </c>
    </row>
    <row r="59">
      <c r="A59" t="n">
        <v>5388</v>
      </c>
      <c r="B59" t="inlineStr">
        <is>
          <t>CAJA POLICARBONATO DOBLE FONDO 40X30X25 SCHNEIDER</t>
        </is>
      </c>
      <c r="C59" t="inlineStr">
        <is>
          <t>Materiales</t>
        </is>
      </c>
      <c r="D59" t="inlineStr">
        <is>
          <t>General</t>
        </is>
      </c>
      <c r="E59" t="inlineStr">
        <is>
          <t>Caja</t>
        </is>
      </c>
      <c r="F59" t="inlineStr">
        <is>
          <t>Generico</t>
        </is>
      </c>
      <c r="G59" t="inlineStr">
        <is>
          <t>-</t>
        </is>
      </c>
      <c r="H59" t="inlineStr">
        <is>
          <t>-</t>
        </is>
      </c>
      <c r="I59" t="inlineStr">
        <is>
          <t>NO APLICA</t>
        </is>
      </c>
      <c r="J59" t="n">
        <v>5</v>
      </c>
      <c r="K59" t="inlineStr">
        <is>
          <t>Activo</t>
        </is>
      </c>
      <c r="L59" t="inlineStr">
        <is>
          <t>Cargue inicial oficial desde INVENTARIO.xlsx</t>
        </is>
      </c>
      <c r="M59" s="59" t="n">
        <v>46264</v>
      </c>
    </row>
    <row r="60">
      <c r="A60" t="n">
        <v>5399</v>
      </c>
      <c r="B60" t="inlineStr">
        <is>
          <t>CHISPERO SOLDADURA EXOTERMICA</t>
        </is>
      </c>
      <c r="C60" t="inlineStr">
        <is>
          <t>Consumibles</t>
        </is>
      </c>
      <c r="D60" t="inlineStr">
        <is>
          <t>General</t>
        </is>
      </c>
      <c r="E60" t="inlineStr">
        <is>
          <t>Unidad</t>
        </is>
      </c>
      <c r="F60" t="inlineStr">
        <is>
          <t>Generico</t>
        </is>
      </c>
      <c r="G60" t="inlineStr">
        <is>
          <t>-</t>
        </is>
      </c>
      <c r="H60" t="inlineStr">
        <is>
          <t>-</t>
        </is>
      </c>
      <c r="I60" t="inlineStr">
        <is>
          <t>NO APLICA</t>
        </is>
      </c>
      <c r="J60" t="n">
        <v>5</v>
      </c>
      <c r="K60" t="inlineStr">
        <is>
          <t>Activo</t>
        </is>
      </c>
      <c r="L60" t="inlineStr">
        <is>
          <t>Cargue inicial oficial desde INVENTARIO.xlsx</t>
        </is>
      </c>
      <c r="M60" s="59" t="n">
        <v>46264</v>
      </c>
    </row>
    <row r="61">
      <c r="A61" t="n">
        <v>5401</v>
      </c>
      <c r="B61" t="inlineStr">
        <is>
          <t>CINTA AISLANTE AMARILLA 3M</t>
        </is>
      </c>
      <c r="C61" t="inlineStr">
        <is>
          <t>Consumibles</t>
        </is>
      </c>
      <c r="D61" t="inlineStr">
        <is>
          <t>General</t>
        </is>
      </c>
      <c r="E61" t="inlineStr">
        <is>
          <t>Rollo</t>
        </is>
      </c>
      <c r="F61" t="inlineStr">
        <is>
          <t>Generico</t>
        </is>
      </c>
      <c r="G61" t="inlineStr">
        <is>
          <t>-</t>
        </is>
      </c>
      <c r="H61" t="inlineStr">
        <is>
          <t>-</t>
        </is>
      </c>
      <c r="I61" t="inlineStr">
        <is>
          <t>NO APLICA</t>
        </is>
      </c>
      <c r="J61" t="n">
        <v>5</v>
      </c>
      <c r="K61" t="inlineStr">
        <is>
          <t>Activo</t>
        </is>
      </c>
      <c r="L61" t="inlineStr">
        <is>
          <t>Cargue inicial oficial desde INVENTARIO.xlsx</t>
        </is>
      </c>
      <c r="M61" s="59" t="n">
        <v>46264</v>
      </c>
    </row>
    <row r="62">
      <c r="A62" t="n">
        <v>5402</v>
      </c>
      <c r="B62" t="inlineStr">
        <is>
          <t>CINTA AISLANTE AZUL 3M</t>
        </is>
      </c>
      <c r="C62" t="inlineStr">
        <is>
          <t>Consumibles</t>
        </is>
      </c>
      <c r="D62" t="inlineStr">
        <is>
          <t>General</t>
        </is>
      </c>
      <c r="E62" t="inlineStr">
        <is>
          <t>Rollo</t>
        </is>
      </c>
      <c r="F62" t="inlineStr">
        <is>
          <t>Generico</t>
        </is>
      </c>
      <c r="G62" t="inlineStr">
        <is>
          <t>-</t>
        </is>
      </c>
      <c r="H62" t="inlineStr">
        <is>
          <t>-</t>
        </is>
      </c>
      <c r="I62" t="inlineStr">
        <is>
          <t>NO APLICA</t>
        </is>
      </c>
      <c r="J62" t="n">
        <v>5</v>
      </c>
      <c r="K62" t="inlineStr">
        <is>
          <t>Activo</t>
        </is>
      </c>
      <c r="L62" t="inlineStr">
        <is>
          <t>Cargue inicial oficial desde INVENTARIO.xlsx</t>
        </is>
      </c>
      <c r="M62" s="59" t="n">
        <v>46264</v>
      </c>
    </row>
    <row r="63">
      <c r="A63" t="n">
        <v>5403</v>
      </c>
      <c r="B63" t="inlineStr">
        <is>
          <t>CINTA AISLANTE BLANCA 3M</t>
        </is>
      </c>
      <c r="C63" t="inlineStr">
        <is>
          <t>Consumibles</t>
        </is>
      </c>
      <c r="D63" t="inlineStr">
        <is>
          <t>General</t>
        </is>
      </c>
      <c r="E63" t="inlineStr">
        <is>
          <t>Rollo</t>
        </is>
      </c>
      <c r="F63" t="inlineStr">
        <is>
          <t>Generico</t>
        </is>
      </c>
      <c r="G63" t="inlineStr">
        <is>
          <t>-</t>
        </is>
      </c>
      <c r="H63" t="inlineStr">
        <is>
          <t>-</t>
        </is>
      </c>
      <c r="I63" t="inlineStr">
        <is>
          <t>NO APLICA</t>
        </is>
      </c>
      <c r="J63" t="n">
        <v>5</v>
      </c>
      <c r="K63" t="inlineStr">
        <is>
          <t>Activo</t>
        </is>
      </c>
      <c r="L63" t="inlineStr">
        <is>
          <t>Cargue inicial oficial desde INVENTARIO.xlsx</t>
        </is>
      </c>
      <c r="M63" s="59" t="n">
        <v>46264</v>
      </c>
    </row>
    <row r="64">
      <c r="A64" t="n">
        <v>5404</v>
      </c>
      <c r="B64" t="inlineStr">
        <is>
          <t>CINTA AISLANTE CAFE 3M</t>
        </is>
      </c>
      <c r="C64" t="inlineStr">
        <is>
          <t>Consumibles</t>
        </is>
      </c>
      <c r="D64" t="inlineStr">
        <is>
          <t>General</t>
        </is>
      </c>
      <c r="E64" t="inlineStr">
        <is>
          <t>Rollo</t>
        </is>
      </c>
      <c r="F64" t="inlineStr">
        <is>
          <t>Generico</t>
        </is>
      </c>
      <c r="G64" t="inlineStr">
        <is>
          <t>-</t>
        </is>
      </c>
      <c r="H64" t="inlineStr">
        <is>
          <t>-</t>
        </is>
      </c>
      <c r="I64" t="inlineStr">
        <is>
          <t>NO APLICA</t>
        </is>
      </c>
      <c r="J64" t="n">
        <v>5</v>
      </c>
      <c r="K64" t="inlineStr">
        <is>
          <t>Activo</t>
        </is>
      </c>
      <c r="L64" t="inlineStr">
        <is>
          <t>Cargue inicial oficial desde INVENTARIO.xlsx</t>
        </is>
      </c>
      <c r="M64" s="59" t="n">
        <v>46264</v>
      </c>
    </row>
    <row r="65">
      <c r="A65" t="n">
        <v>5406</v>
      </c>
      <c r="B65" t="inlineStr">
        <is>
          <t>CINTA AISLANTE MORADA 3M</t>
        </is>
      </c>
      <c r="C65" t="inlineStr">
        <is>
          <t>Consumibles</t>
        </is>
      </c>
      <c r="D65" t="inlineStr">
        <is>
          <t>General</t>
        </is>
      </c>
      <c r="E65" t="inlineStr">
        <is>
          <t>Rollo</t>
        </is>
      </c>
      <c r="F65" t="inlineStr">
        <is>
          <t>Generico</t>
        </is>
      </c>
      <c r="G65" t="inlineStr">
        <is>
          <t>-</t>
        </is>
      </c>
      <c r="H65" t="inlineStr">
        <is>
          <t>-</t>
        </is>
      </c>
      <c r="I65" t="inlineStr">
        <is>
          <t>NO APLICA</t>
        </is>
      </c>
      <c r="J65" t="n">
        <v>5</v>
      </c>
      <c r="K65" t="inlineStr">
        <is>
          <t>Activo</t>
        </is>
      </c>
      <c r="L65" t="inlineStr">
        <is>
          <t>Cargue inicial oficial desde INVENTARIO.xlsx</t>
        </is>
      </c>
      <c r="M65" s="59" t="n">
        <v>46264</v>
      </c>
    </row>
    <row r="66">
      <c r="A66" t="n">
        <v>5407</v>
      </c>
      <c r="B66" t="inlineStr">
        <is>
          <t>CINTA AISLANTE NARANJA 3M</t>
        </is>
      </c>
      <c r="C66" t="inlineStr">
        <is>
          <t>Consumibles</t>
        </is>
      </c>
      <c r="D66" t="inlineStr">
        <is>
          <t>General</t>
        </is>
      </c>
      <c r="E66" t="inlineStr">
        <is>
          <t>Rollo</t>
        </is>
      </c>
      <c r="F66" t="inlineStr">
        <is>
          <t>Generico</t>
        </is>
      </c>
      <c r="G66" t="inlineStr">
        <is>
          <t>-</t>
        </is>
      </c>
      <c r="H66" t="inlineStr">
        <is>
          <t>-</t>
        </is>
      </c>
      <c r="I66" t="inlineStr">
        <is>
          <t>NO APLICA</t>
        </is>
      </c>
      <c r="J66" t="n">
        <v>5</v>
      </c>
      <c r="K66" t="inlineStr">
        <is>
          <t>Activo</t>
        </is>
      </c>
      <c r="L66" t="inlineStr">
        <is>
          <t>Cargue inicial oficial desde INVENTARIO.xlsx</t>
        </is>
      </c>
      <c r="M66" s="59" t="n">
        <v>46264</v>
      </c>
    </row>
    <row r="67">
      <c r="A67" t="n">
        <v>5408</v>
      </c>
      <c r="B67" t="inlineStr">
        <is>
          <t>CINTA AISLANTE NEGRA 3M</t>
        </is>
      </c>
      <c r="C67" t="inlineStr">
        <is>
          <t>Consumibles</t>
        </is>
      </c>
      <c r="D67" t="inlineStr">
        <is>
          <t>General</t>
        </is>
      </c>
      <c r="E67" t="inlineStr">
        <is>
          <t>Rollo</t>
        </is>
      </c>
      <c r="F67" t="inlineStr">
        <is>
          <t>Generico</t>
        </is>
      </c>
      <c r="G67" t="inlineStr">
        <is>
          <t>-</t>
        </is>
      </c>
      <c r="H67" t="inlineStr">
        <is>
          <t>-</t>
        </is>
      </c>
      <c r="I67" t="inlineStr">
        <is>
          <t>NO APLICA</t>
        </is>
      </c>
      <c r="J67" t="n">
        <v>5</v>
      </c>
      <c r="K67" t="inlineStr">
        <is>
          <t>Activo</t>
        </is>
      </c>
      <c r="L67" t="inlineStr">
        <is>
          <t>Cargue inicial oficial desde INVENTARIO.xlsx</t>
        </is>
      </c>
      <c r="M67" s="59" t="n">
        <v>46264</v>
      </c>
    </row>
    <row r="68">
      <c r="A68" t="n">
        <v>5409</v>
      </c>
      <c r="B68" t="inlineStr">
        <is>
          <t>CINTA AISLANTE ROJA 3M</t>
        </is>
      </c>
      <c r="C68" t="inlineStr">
        <is>
          <t>Consumibles</t>
        </is>
      </c>
      <c r="D68" t="inlineStr">
        <is>
          <t>General</t>
        </is>
      </c>
      <c r="E68" t="inlineStr">
        <is>
          <t>Rollo</t>
        </is>
      </c>
      <c r="F68" t="inlineStr">
        <is>
          <t>Generico</t>
        </is>
      </c>
      <c r="G68" t="inlineStr">
        <is>
          <t>-</t>
        </is>
      </c>
      <c r="H68" t="inlineStr">
        <is>
          <t>-</t>
        </is>
      </c>
      <c r="I68" t="inlineStr">
        <is>
          <t>NO APLICA</t>
        </is>
      </c>
      <c r="J68" t="n">
        <v>5</v>
      </c>
      <c r="K68" t="inlineStr">
        <is>
          <t>Activo</t>
        </is>
      </c>
      <c r="L68" t="inlineStr">
        <is>
          <t>Cargue inicial oficial desde INVENTARIO.xlsx</t>
        </is>
      </c>
      <c r="M68" s="59" t="n">
        <v>46264</v>
      </c>
    </row>
    <row r="69">
      <c r="A69" t="n">
        <v>5410</v>
      </c>
      <c r="B69" t="inlineStr">
        <is>
          <t>CINTA AISLANTE VERDE 3M</t>
        </is>
      </c>
      <c r="C69" t="inlineStr">
        <is>
          <t>Consumibles</t>
        </is>
      </c>
      <c r="D69" t="inlineStr">
        <is>
          <t>General</t>
        </is>
      </c>
      <c r="E69" t="inlineStr">
        <is>
          <t>Rollo</t>
        </is>
      </c>
      <c r="F69" t="inlineStr">
        <is>
          <t>Generico</t>
        </is>
      </c>
      <c r="G69" t="inlineStr">
        <is>
          <t>-</t>
        </is>
      </c>
      <c r="H69" t="inlineStr">
        <is>
          <t>-</t>
        </is>
      </c>
      <c r="I69" t="inlineStr">
        <is>
          <t>NO APLICA</t>
        </is>
      </c>
      <c r="J69" t="n">
        <v>5</v>
      </c>
      <c r="K69" t="inlineStr">
        <is>
          <t>Activo</t>
        </is>
      </c>
      <c r="L69" t="inlineStr">
        <is>
          <t>Cargue inicial oficial desde INVENTARIO.xlsx</t>
        </is>
      </c>
      <c r="M69" s="59" t="n">
        <v>46264</v>
      </c>
    </row>
    <row r="70">
      <c r="A70" t="n">
        <v>5411</v>
      </c>
      <c r="B70" t="inlineStr">
        <is>
          <t>CINTA AISLANTE VINILO SCOTCH SUPER 23+ 3M</t>
        </is>
      </c>
      <c r="C70" t="inlineStr">
        <is>
          <t>Consumibles</t>
        </is>
      </c>
      <c r="D70" t="inlineStr">
        <is>
          <t>General</t>
        </is>
      </c>
      <c r="E70" t="inlineStr">
        <is>
          <t>Rollo</t>
        </is>
      </c>
      <c r="F70" t="inlineStr">
        <is>
          <t>Generico</t>
        </is>
      </c>
      <c r="G70" t="inlineStr">
        <is>
          <t>-</t>
        </is>
      </c>
      <c r="H70" t="inlineStr">
        <is>
          <t>-</t>
        </is>
      </c>
      <c r="I70" t="inlineStr">
        <is>
          <t>NO APLICA</t>
        </is>
      </c>
      <c r="J70" t="n">
        <v>5</v>
      </c>
      <c r="K70" t="inlineStr">
        <is>
          <t>Activo</t>
        </is>
      </c>
      <c r="L70" t="inlineStr">
        <is>
          <t>Cargue inicial oficial desde INVENTARIO.xlsx</t>
        </is>
      </c>
      <c r="M70" s="59" t="n">
        <v>46264</v>
      </c>
    </row>
    <row r="71">
      <c r="A71" t="n">
        <v>5412</v>
      </c>
      <c r="B71" t="inlineStr">
        <is>
          <t>CINTA AISLANTE VINILO SCOTCH SUPER 33+ 3M</t>
        </is>
      </c>
      <c r="C71" t="inlineStr">
        <is>
          <t>Consumibles</t>
        </is>
      </c>
      <c r="D71" t="inlineStr">
        <is>
          <t>General</t>
        </is>
      </c>
      <c r="E71" t="inlineStr">
        <is>
          <t>Rollo</t>
        </is>
      </c>
      <c r="F71" t="inlineStr">
        <is>
          <t>Generico</t>
        </is>
      </c>
      <c r="G71" t="inlineStr">
        <is>
          <t>-</t>
        </is>
      </c>
      <c r="H71" t="inlineStr">
        <is>
          <t>-</t>
        </is>
      </c>
      <c r="I71" t="inlineStr">
        <is>
          <t>NO APLICA</t>
        </is>
      </c>
      <c r="J71" t="n">
        <v>5</v>
      </c>
      <c r="K71" t="inlineStr">
        <is>
          <t>Activo</t>
        </is>
      </c>
      <c r="L71" t="inlineStr">
        <is>
          <t>Cargue inicial oficial desde INVENTARIO.xlsx</t>
        </is>
      </c>
      <c r="M71" s="59" t="n">
        <v>46264</v>
      </c>
    </row>
    <row r="72">
      <c r="A72" t="n">
        <v>5413</v>
      </c>
      <c r="B72" t="inlineStr">
        <is>
          <t>CINTA ASFALTICA ALUMINIO 30CM X 10MT TEXA</t>
        </is>
      </c>
      <c r="C72" t="inlineStr">
        <is>
          <t>Consumibles</t>
        </is>
      </c>
      <c r="D72" t="inlineStr">
        <is>
          <t>General</t>
        </is>
      </c>
      <c r="E72" t="inlineStr">
        <is>
          <t>Rollo</t>
        </is>
      </c>
      <c r="F72" t="inlineStr">
        <is>
          <t>Generico</t>
        </is>
      </c>
      <c r="G72" t="inlineStr">
        <is>
          <t>-</t>
        </is>
      </c>
      <c r="H72" t="inlineStr">
        <is>
          <t>-</t>
        </is>
      </c>
      <c r="I72" t="inlineStr">
        <is>
          <t>NO APLICA</t>
        </is>
      </c>
      <c r="J72" t="n">
        <v>5</v>
      </c>
      <c r="K72" t="inlineStr">
        <is>
          <t>Activo</t>
        </is>
      </c>
      <c r="L72" t="inlineStr">
        <is>
          <t>Cargue inicial oficial desde INVENTARIO.xlsx</t>
        </is>
      </c>
      <c r="M72" s="59" t="n">
        <v>46264</v>
      </c>
    </row>
    <row r="73">
      <c r="A73" t="n">
        <v>5414</v>
      </c>
      <c r="B73" t="inlineStr">
        <is>
          <t>CINTA ASFALTICA ALUMINIO 33CM X 5MT TEXA</t>
        </is>
      </c>
      <c r="C73" t="inlineStr">
        <is>
          <t>Consumibles</t>
        </is>
      </c>
      <c r="D73" t="inlineStr">
        <is>
          <t>General</t>
        </is>
      </c>
      <c r="E73" t="inlineStr">
        <is>
          <t>Rollo</t>
        </is>
      </c>
      <c r="F73" t="inlineStr">
        <is>
          <t>Generico</t>
        </is>
      </c>
      <c r="G73" t="inlineStr">
        <is>
          <t>-</t>
        </is>
      </c>
      <c r="H73" t="inlineStr">
        <is>
          <t>-</t>
        </is>
      </c>
      <c r="I73" t="inlineStr">
        <is>
          <t>NO APLICA</t>
        </is>
      </c>
      <c r="J73" t="n">
        <v>5</v>
      </c>
      <c r="K73" t="inlineStr">
        <is>
          <t>Activo</t>
        </is>
      </c>
      <c r="L73" t="inlineStr">
        <is>
          <t>Cargue inicial oficial desde INVENTARIO.xlsx</t>
        </is>
      </c>
      <c r="M73" s="59" t="n">
        <v>46264</v>
      </c>
    </row>
    <row r="74">
      <c r="A74" t="n">
        <v>5417</v>
      </c>
      <c r="B74" t="inlineStr">
        <is>
          <t>CINTA ENMASCARAR 40MM</t>
        </is>
      </c>
      <c r="C74" t="inlineStr">
        <is>
          <t>Consumibles</t>
        </is>
      </c>
      <c r="D74" t="inlineStr">
        <is>
          <t>General</t>
        </is>
      </c>
      <c r="E74" t="inlineStr">
        <is>
          <t>Rollo</t>
        </is>
      </c>
      <c r="F74" t="inlineStr">
        <is>
          <t>Generico</t>
        </is>
      </c>
      <c r="G74" t="inlineStr">
        <is>
          <t>-</t>
        </is>
      </c>
      <c r="H74" t="inlineStr">
        <is>
          <t>-</t>
        </is>
      </c>
      <c r="I74" t="inlineStr">
        <is>
          <t>NO APLICA</t>
        </is>
      </c>
      <c r="J74" t="n">
        <v>5</v>
      </c>
      <c r="K74" t="inlineStr">
        <is>
          <t>Activo</t>
        </is>
      </c>
      <c r="L74" t="inlineStr">
        <is>
          <t>Cargue inicial oficial desde INVENTARIO.xlsx</t>
        </is>
      </c>
      <c r="M74" s="59" t="n">
        <v>46264</v>
      </c>
    </row>
    <row r="75">
      <c r="A75" t="n">
        <v>5419</v>
      </c>
      <c r="B75" t="inlineStr">
        <is>
          <t>CINTA PELIGRO ROJA (RIESGO ELECTRICO)</t>
        </is>
      </c>
      <c r="C75" t="inlineStr">
        <is>
          <t>Consumibles</t>
        </is>
      </c>
      <c r="D75" t="inlineStr">
        <is>
          <t>General</t>
        </is>
      </c>
      <c r="E75" t="inlineStr">
        <is>
          <t>Rollo</t>
        </is>
      </c>
      <c r="F75" t="inlineStr">
        <is>
          <t>Generico</t>
        </is>
      </c>
      <c r="G75" t="inlineStr">
        <is>
          <t>-</t>
        </is>
      </c>
      <c r="H75" t="inlineStr">
        <is>
          <t>A1</t>
        </is>
      </c>
      <c r="I75" t="inlineStr">
        <is>
          <t>NO APLICA</t>
        </is>
      </c>
      <c r="J75" t="n">
        <v>5</v>
      </c>
      <c r="K75" t="inlineStr">
        <is>
          <t>Activo</t>
        </is>
      </c>
      <c r="L75" t="inlineStr">
        <is>
          <t>Cargue inicial oficial desde INVENTARIO.xlsx</t>
        </is>
      </c>
      <c r="M75" s="59" t="n">
        <v>46264</v>
      </c>
    </row>
    <row r="76">
      <c r="A76" t="n">
        <v>5420</v>
      </c>
      <c r="B76" t="inlineStr">
        <is>
          <t>CINTA PREVENCION AMARILLA</t>
        </is>
      </c>
      <c r="C76" t="inlineStr">
        <is>
          <t>Consumibles</t>
        </is>
      </c>
      <c r="D76" t="inlineStr">
        <is>
          <t>General</t>
        </is>
      </c>
      <c r="E76" t="inlineStr">
        <is>
          <t>Rollo</t>
        </is>
      </c>
      <c r="F76" t="inlineStr">
        <is>
          <t>Generico</t>
        </is>
      </c>
      <c r="G76" t="inlineStr">
        <is>
          <t>-</t>
        </is>
      </c>
      <c r="H76" t="inlineStr">
        <is>
          <t>A1</t>
        </is>
      </c>
      <c r="I76" t="inlineStr">
        <is>
          <t>NO APLICA</t>
        </is>
      </c>
      <c r="J76" t="n">
        <v>5</v>
      </c>
      <c r="K76" t="inlineStr">
        <is>
          <t>Activo</t>
        </is>
      </c>
      <c r="L76" t="inlineStr">
        <is>
          <t>Cargue inicial oficial desde INVENTARIO.xlsx</t>
        </is>
      </c>
      <c r="M76" s="59" t="n">
        <v>46264</v>
      </c>
    </row>
    <row r="77">
      <c r="A77" t="n">
        <v>5421</v>
      </c>
      <c r="B77" t="inlineStr">
        <is>
          <t>CINTA ROTULADOR PAPEL</t>
        </is>
      </c>
      <c r="C77" t="inlineStr">
        <is>
          <t>Consumibles</t>
        </is>
      </c>
      <c r="D77" t="inlineStr">
        <is>
          <t>General</t>
        </is>
      </c>
      <c r="E77" t="inlineStr">
        <is>
          <t>Rollo</t>
        </is>
      </c>
      <c r="F77" t="inlineStr">
        <is>
          <t>Generico</t>
        </is>
      </c>
      <c r="G77" t="inlineStr">
        <is>
          <t>-</t>
        </is>
      </c>
      <c r="H77" t="inlineStr">
        <is>
          <t>-</t>
        </is>
      </c>
      <c r="I77" t="inlineStr">
        <is>
          <t>NO APLICA</t>
        </is>
      </c>
      <c r="J77" t="n">
        <v>5</v>
      </c>
      <c r="K77" t="inlineStr">
        <is>
          <t>Activo</t>
        </is>
      </c>
      <c r="L77" t="inlineStr">
        <is>
          <t>Cargue inicial oficial desde INVENTARIO.xlsx</t>
        </is>
      </c>
      <c r="M77" s="59" t="n">
        <v>46264</v>
      </c>
    </row>
    <row r="78">
      <c r="A78" t="n">
        <v>5426</v>
      </c>
      <c r="B78" t="inlineStr">
        <is>
          <t>CLAVIJA MACHO</t>
        </is>
      </c>
      <c r="C78" t="inlineStr">
        <is>
          <t>Materiales</t>
        </is>
      </c>
      <c r="D78" t="inlineStr">
        <is>
          <t>General</t>
        </is>
      </c>
      <c r="E78" t="inlineStr">
        <is>
          <t>Unidad</t>
        </is>
      </c>
      <c r="F78" t="inlineStr">
        <is>
          <t>Generico</t>
        </is>
      </c>
      <c r="G78" t="inlineStr">
        <is>
          <t>-</t>
        </is>
      </c>
      <c r="H78" t="inlineStr">
        <is>
          <t>-</t>
        </is>
      </c>
      <c r="I78" t="inlineStr">
        <is>
          <t>NO APLICA</t>
        </is>
      </c>
      <c r="J78" t="n">
        <v>5</v>
      </c>
      <c r="K78" t="inlineStr">
        <is>
          <t>Activo</t>
        </is>
      </c>
      <c r="L78" t="inlineStr">
        <is>
          <t>Cargue inicial oficial desde INVENTARIO.xlsx</t>
        </is>
      </c>
      <c r="M78" s="59" t="n">
        <v>46264</v>
      </c>
    </row>
    <row r="79">
      <c r="A79" t="n">
        <v>5427</v>
      </c>
      <c r="B79" t="inlineStr">
        <is>
          <t>CONECTOR CORAZA CURVO 1 1/2"</t>
        </is>
      </c>
      <c r="C79" t="inlineStr">
        <is>
          <t>Materiales</t>
        </is>
      </c>
      <c r="D79" t="inlineStr">
        <is>
          <t>General</t>
        </is>
      </c>
      <c r="E79" t="inlineStr">
        <is>
          <t>Unidad</t>
        </is>
      </c>
      <c r="F79" t="inlineStr">
        <is>
          <t>Generico</t>
        </is>
      </c>
      <c r="G79" t="inlineStr">
        <is>
          <t>-</t>
        </is>
      </c>
      <c r="H79" t="inlineStr">
        <is>
          <t>-</t>
        </is>
      </c>
      <c r="I79" t="inlineStr">
        <is>
          <t>NO APLICA</t>
        </is>
      </c>
      <c r="J79" t="n">
        <v>5</v>
      </c>
      <c r="K79" t="inlineStr">
        <is>
          <t>Activo</t>
        </is>
      </c>
      <c r="L79" t="inlineStr">
        <is>
          <t>Cargue inicial oficial desde INVENTARIO.xlsx</t>
        </is>
      </c>
      <c r="M79" s="59" t="n">
        <v>46264</v>
      </c>
    </row>
    <row r="80">
      <c r="A80" t="n">
        <v>5428</v>
      </c>
      <c r="B80" t="inlineStr">
        <is>
          <t>CONECTOR CORAZA CURVO 1 1/4"</t>
        </is>
      </c>
      <c r="C80" t="inlineStr">
        <is>
          <t>Materiales</t>
        </is>
      </c>
      <c r="D80" t="inlineStr">
        <is>
          <t>General</t>
        </is>
      </c>
      <c r="E80" t="inlineStr">
        <is>
          <t>Unidad</t>
        </is>
      </c>
      <c r="F80" t="inlineStr">
        <is>
          <t>Generico</t>
        </is>
      </c>
      <c r="G80" t="inlineStr">
        <is>
          <t>-</t>
        </is>
      </c>
      <c r="H80" t="inlineStr">
        <is>
          <t>-</t>
        </is>
      </c>
      <c r="I80" t="inlineStr">
        <is>
          <t>NO APLICA</t>
        </is>
      </c>
      <c r="J80" t="n">
        <v>5</v>
      </c>
      <c r="K80" t="inlineStr">
        <is>
          <t>Activo</t>
        </is>
      </c>
      <c r="L80" t="inlineStr">
        <is>
          <t>Cargue inicial oficial desde INVENTARIO.xlsx</t>
        </is>
      </c>
      <c r="M80" s="59" t="n">
        <v>46264</v>
      </c>
    </row>
    <row r="81">
      <c r="A81" t="n">
        <v>5429</v>
      </c>
      <c r="B81" t="inlineStr">
        <is>
          <t>CONECTOR CORAZA CURVO 1"</t>
        </is>
      </c>
      <c r="C81" t="inlineStr">
        <is>
          <t>Materiales</t>
        </is>
      </c>
      <c r="D81" t="inlineStr">
        <is>
          <t>General</t>
        </is>
      </c>
      <c r="E81" t="inlineStr">
        <is>
          <t>Unidad</t>
        </is>
      </c>
      <c r="F81" t="inlineStr">
        <is>
          <t>Generico</t>
        </is>
      </c>
      <c r="G81" t="inlineStr">
        <is>
          <t>-</t>
        </is>
      </c>
      <c r="H81" t="inlineStr">
        <is>
          <t>-</t>
        </is>
      </c>
      <c r="I81" t="inlineStr">
        <is>
          <t>NO APLICA</t>
        </is>
      </c>
      <c r="J81" t="n">
        <v>5</v>
      </c>
      <c r="K81" t="inlineStr">
        <is>
          <t>Activo</t>
        </is>
      </c>
      <c r="L81" t="inlineStr">
        <is>
          <t>Cargue inicial oficial desde INVENTARIO.xlsx</t>
        </is>
      </c>
      <c r="M81" s="59" t="n">
        <v>46264</v>
      </c>
    </row>
    <row r="82">
      <c r="A82" t="n">
        <v>5430</v>
      </c>
      <c r="B82" t="inlineStr">
        <is>
          <t>CONECTOR CORAZA CURVO 2 1/2"</t>
        </is>
      </c>
      <c r="C82" t="inlineStr">
        <is>
          <t>Materiales</t>
        </is>
      </c>
      <c r="D82" t="inlineStr">
        <is>
          <t>General</t>
        </is>
      </c>
      <c r="E82" t="inlineStr">
        <is>
          <t>Unidad</t>
        </is>
      </c>
      <c r="F82" t="inlineStr">
        <is>
          <t>Generico</t>
        </is>
      </c>
      <c r="G82" t="inlineStr">
        <is>
          <t>-</t>
        </is>
      </c>
      <c r="H82" t="inlineStr">
        <is>
          <t>-</t>
        </is>
      </c>
      <c r="I82" t="inlineStr">
        <is>
          <t>NO APLICA</t>
        </is>
      </c>
      <c r="J82" t="n">
        <v>5</v>
      </c>
      <c r="K82" t="inlineStr">
        <is>
          <t>Activo</t>
        </is>
      </c>
      <c r="L82" t="inlineStr">
        <is>
          <t>Cargue inicial oficial desde INVENTARIO.xlsx</t>
        </is>
      </c>
      <c r="M82" s="59" t="n">
        <v>46264</v>
      </c>
    </row>
    <row r="83">
      <c r="A83" t="n">
        <v>5431</v>
      </c>
      <c r="B83" t="inlineStr">
        <is>
          <t>CONECTOR CORAZA CURVO 2"</t>
        </is>
      </c>
      <c r="C83" t="inlineStr">
        <is>
          <t>Materiales</t>
        </is>
      </c>
      <c r="D83" t="inlineStr">
        <is>
          <t>General</t>
        </is>
      </c>
      <c r="E83" t="inlineStr">
        <is>
          <t>Unidad</t>
        </is>
      </c>
      <c r="F83" t="inlineStr">
        <is>
          <t>Generico</t>
        </is>
      </c>
      <c r="G83" t="inlineStr">
        <is>
          <t>-</t>
        </is>
      </c>
      <c r="H83" t="inlineStr">
        <is>
          <t>-</t>
        </is>
      </c>
      <c r="I83" t="inlineStr">
        <is>
          <t>NO APLICA</t>
        </is>
      </c>
      <c r="J83" t="n">
        <v>5</v>
      </c>
      <c r="K83" t="inlineStr">
        <is>
          <t>Activo</t>
        </is>
      </c>
      <c r="L83" t="inlineStr">
        <is>
          <t>Cargue inicial oficial desde INVENTARIO.xlsx</t>
        </is>
      </c>
      <c r="M83" s="59" t="n">
        <v>46264</v>
      </c>
    </row>
    <row r="84">
      <c r="A84" t="n">
        <v>5432</v>
      </c>
      <c r="B84" t="inlineStr">
        <is>
          <t>CONECTOR CORAZA CURVO 3/4"</t>
        </is>
      </c>
      <c r="C84" t="inlineStr">
        <is>
          <t>Materiales</t>
        </is>
      </c>
      <c r="D84" t="inlineStr">
        <is>
          <t>General</t>
        </is>
      </c>
      <c r="E84" t="inlineStr">
        <is>
          <t>Unidad</t>
        </is>
      </c>
      <c r="F84" t="inlineStr">
        <is>
          <t>Generico</t>
        </is>
      </c>
      <c r="G84" t="inlineStr">
        <is>
          <t>-</t>
        </is>
      </c>
      <c r="H84" t="inlineStr">
        <is>
          <t>-</t>
        </is>
      </c>
      <c r="I84" t="inlineStr">
        <is>
          <t>NO APLICA</t>
        </is>
      </c>
      <c r="J84" t="n">
        <v>5</v>
      </c>
      <c r="K84" t="inlineStr">
        <is>
          <t>Activo</t>
        </is>
      </c>
      <c r="L84" t="inlineStr">
        <is>
          <t>Cargue inicial oficial desde INVENTARIO.xlsx</t>
        </is>
      </c>
      <c r="M84" s="59" t="n">
        <v>46264</v>
      </c>
    </row>
    <row r="85">
      <c r="A85" t="n">
        <v>5433</v>
      </c>
      <c r="B85" t="inlineStr">
        <is>
          <t>CONECTOR CORAZA RECTO 1 1/2"</t>
        </is>
      </c>
      <c r="C85" t="inlineStr">
        <is>
          <t>Materiales</t>
        </is>
      </c>
      <c r="D85" t="inlineStr">
        <is>
          <t>General</t>
        </is>
      </c>
      <c r="E85" t="inlineStr">
        <is>
          <t>Unidad</t>
        </is>
      </c>
      <c r="F85" t="inlineStr">
        <is>
          <t>Generico</t>
        </is>
      </c>
      <c r="G85" t="inlineStr">
        <is>
          <t>-</t>
        </is>
      </c>
      <c r="H85" t="inlineStr">
        <is>
          <t>-</t>
        </is>
      </c>
      <c r="I85" t="inlineStr">
        <is>
          <t>NO APLICA</t>
        </is>
      </c>
      <c r="J85" t="n">
        <v>5</v>
      </c>
      <c r="K85" t="inlineStr">
        <is>
          <t>Activo</t>
        </is>
      </c>
      <c r="L85" t="inlineStr">
        <is>
          <t>Cargue inicial oficial desde INVENTARIO.xlsx</t>
        </is>
      </c>
      <c r="M85" s="59" t="n">
        <v>46264</v>
      </c>
    </row>
    <row r="86">
      <c r="A86" t="n">
        <v>5434</v>
      </c>
      <c r="B86" t="inlineStr">
        <is>
          <t>CONECTOR CORAZA RECTO 1 1/4"</t>
        </is>
      </c>
      <c r="C86" t="inlineStr">
        <is>
          <t>Materiales</t>
        </is>
      </c>
      <c r="D86" t="inlineStr">
        <is>
          <t>General</t>
        </is>
      </c>
      <c r="E86" t="inlineStr">
        <is>
          <t>Unidad</t>
        </is>
      </c>
      <c r="F86" t="inlineStr">
        <is>
          <t>Generico</t>
        </is>
      </c>
      <c r="G86" t="inlineStr">
        <is>
          <t>-</t>
        </is>
      </c>
      <c r="H86" t="inlineStr">
        <is>
          <t>-</t>
        </is>
      </c>
      <c r="I86" t="inlineStr">
        <is>
          <t>NO APLICA</t>
        </is>
      </c>
      <c r="J86" t="n">
        <v>5</v>
      </c>
      <c r="K86" t="inlineStr">
        <is>
          <t>Activo</t>
        </is>
      </c>
      <c r="L86" t="inlineStr">
        <is>
          <t>Cargue inicial oficial desde INVENTARIO.xlsx</t>
        </is>
      </c>
      <c r="M86" s="59" t="n">
        <v>46264</v>
      </c>
    </row>
    <row r="87">
      <c r="A87" t="n">
        <v>5435</v>
      </c>
      <c r="B87" t="inlineStr">
        <is>
          <t>CONECTOR CORAZA RECTO 1"</t>
        </is>
      </c>
      <c r="C87" t="inlineStr">
        <is>
          <t>Materiales</t>
        </is>
      </c>
      <c r="D87" t="inlineStr">
        <is>
          <t>General</t>
        </is>
      </c>
      <c r="E87" t="inlineStr">
        <is>
          <t>Unidad</t>
        </is>
      </c>
      <c r="F87" t="inlineStr">
        <is>
          <t>Generico</t>
        </is>
      </c>
      <c r="G87" t="inlineStr">
        <is>
          <t>-</t>
        </is>
      </c>
      <c r="H87" t="inlineStr">
        <is>
          <t>-</t>
        </is>
      </c>
      <c r="I87" t="inlineStr">
        <is>
          <t>NO APLICA</t>
        </is>
      </c>
      <c r="J87" t="n">
        <v>5</v>
      </c>
      <c r="K87" t="inlineStr">
        <is>
          <t>Activo</t>
        </is>
      </c>
      <c r="L87" t="inlineStr">
        <is>
          <t>Cargue inicial oficial desde INVENTARIO.xlsx</t>
        </is>
      </c>
      <c r="M87" s="59" t="n">
        <v>46264</v>
      </c>
    </row>
    <row r="88">
      <c r="A88" t="n">
        <v>5436</v>
      </c>
      <c r="B88" t="inlineStr">
        <is>
          <t>CONECTOR CORAZA RECTO 1/2"</t>
        </is>
      </c>
      <c r="C88" t="inlineStr">
        <is>
          <t>Materiales</t>
        </is>
      </c>
      <c r="D88" t="inlineStr">
        <is>
          <t>General</t>
        </is>
      </c>
      <c r="E88" t="inlineStr">
        <is>
          <t>Unidad</t>
        </is>
      </c>
      <c r="F88" t="inlineStr">
        <is>
          <t>Generico</t>
        </is>
      </c>
      <c r="G88" t="inlineStr">
        <is>
          <t>-</t>
        </is>
      </c>
      <c r="H88" t="inlineStr">
        <is>
          <t>-</t>
        </is>
      </c>
      <c r="I88" t="inlineStr">
        <is>
          <t>NO APLICA</t>
        </is>
      </c>
      <c r="J88" t="n">
        <v>5</v>
      </c>
      <c r="K88" t="inlineStr">
        <is>
          <t>Activo</t>
        </is>
      </c>
      <c r="L88" t="inlineStr">
        <is>
          <t>Cargue inicial oficial desde INVENTARIO.xlsx</t>
        </is>
      </c>
      <c r="M88" s="59" t="n">
        <v>46264</v>
      </c>
    </row>
    <row r="89">
      <c r="A89" t="n">
        <v>5437</v>
      </c>
      <c r="B89" t="inlineStr">
        <is>
          <t>CONECTOR CORAZA RECTO 2 1/2"</t>
        </is>
      </c>
      <c r="C89" t="inlineStr">
        <is>
          <t>Materiales</t>
        </is>
      </c>
      <c r="D89" t="inlineStr">
        <is>
          <t>General</t>
        </is>
      </c>
      <c r="E89" t="inlineStr">
        <is>
          <t>Unidad</t>
        </is>
      </c>
      <c r="F89" t="inlineStr">
        <is>
          <t>Generico</t>
        </is>
      </c>
      <c r="G89" t="inlineStr">
        <is>
          <t>-</t>
        </is>
      </c>
      <c r="H89" t="inlineStr">
        <is>
          <t>-</t>
        </is>
      </c>
      <c r="I89" t="inlineStr">
        <is>
          <t>NO APLICA</t>
        </is>
      </c>
      <c r="J89" t="n">
        <v>5</v>
      </c>
      <c r="K89" t="inlineStr">
        <is>
          <t>Activo</t>
        </is>
      </c>
      <c r="L89" t="inlineStr">
        <is>
          <t>Cargue inicial oficial desde INVENTARIO.xlsx</t>
        </is>
      </c>
      <c r="M89" s="59" t="n">
        <v>46264</v>
      </c>
    </row>
    <row r="90">
      <c r="A90" t="n">
        <v>5438</v>
      </c>
      <c r="B90" t="inlineStr">
        <is>
          <t>CONECTOR CORAZA RECTO 2"</t>
        </is>
      </c>
      <c r="C90" t="inlineStr">
        <is>
          <t>Materiales</t>
        </is>
      </c>
      <c r="D90" t="inlineStr">
        <is>
          <t>General</t>
        </is>
      </c>
      <c r="E90" t="inlineStr">
        <is>
          <t>Unidad</t>
        </is>
      </c>
      <c r="F90" t="inlineStr">
        <is>
          <t>Generico</t>
        </is>
      </c>
      <c r="G90" t="inlineStr">
        <is>
          <t>-</t>
        </is>
      </c>
      <c r="H90" t="inlineStr">
        <is>
          <t>-</t>
        </is>
      </c>
      <c r="I90" t="inlineStr">
        <is>
          <t>NO APLICA</t>
        </is>
      </c>
      <c r="J90" t="n">
        <v>5</v>
      </c>
      <c r="K90" t="inlineStr">
        <is>
          <t>Activo</t>
        </is>
      </c>
      <c r="L90" t="inlineStr">
        <is>
          <t>Cargue inicial oficial desde INVENTARIO.xlsx</t>
        </is>
      </c>
      <c r="M90" s="59" t="n">
        <v>46264</v>
      </c>
    </row>
    <row r="91">
      <c r="A91" t="n">
        <v>5439</v>
      </c>
      <c r="B91" t="inlineStr">
        <is>
          <t>CONECTOR CORAZA RECTO 3/4"</t>
        </is>
      </c>
      <c r="C91" t="inlineStr">
        <is>
          <t>Materiales</t>
        </is>
      </c>
      <c r="D91" t="inlineStr">
        <is>
          <t>General</t>
        </is>
      </c>
      <c r="E91" t="inlineStr">
        <is>
          <t>Unidad</t>
        </is>
      </c>
      <c r="F91" t="inlineStr">
        <is>
          <t>Generico</t>
        </is>
      </c>
      <c r="G91" t="inlineStr">
        <is>
          <t>-</t>
        </is>
      </c>
      <c r="H91" t="inlineStr">
        <is>
          <t>-</t>
        </is>
      </c>
      <c r="I91" t="inlineStr">
        <is>
          <t>NO APLICA</t>
        </is>
      </c>
      <c r="J91" t="n">
        <v>5</v>
      </c>
      <c r="K91" t="inlineStr">
        <is>
          <t>Activo</t>
        </is>
      </c>
      <c r="L91" t="inlineStr">
        <is>
          <t>Cargue inicial oficial desde INVENTARIO.xlsx</t>
        </is>
      </c>
      <c r="M91" s="59" t="n">
        <v>46264</v>
      </c>
    </row>
    <row r="92">
      <c r="A92" t="n">
        <v>5441</v>
      </c>
      <c r="B92" t="inlineStr">
        <is>
          <t>CONECTOR VARILLA COPPERWELD</t>
        </is>
      </c>
      <c r="C92" t="inlineStr">
        <is>
          <t>Materiales</t>
        </is>
      </c>
      <c r="D92" t="inlineStr">
        <is>
          <t>General</t>
        </is>
      </c>
      <c r="E92" t="inlineStr">
        <is>
          <t>Unidad</t>
        </is>
      </c>
      <c r="F92" t="inlineStr">
        <is>
          <t>Generico</t>
        </is>
      </c>
      <c r="G92" t="inlineStr">
        <is>
          <t>-</t>
        </is>
      </c>
      <c r="H92" t="inlineStr">
        <is>
          <t>-</t>
        </is>
      </c>
      <c r="I92" t="inlineStr">
        <is>
          <t>NO APLICA</t>
        </is>
      </c>
      <c r="J92" t="n">
        <v>5</v>
      </c>
      <c r="K92" t="inlineStr">
        <is>
          <t>Activo</t>
        </is>
      </c>
      <c r="L92" t="inlineStr">
        <is>
          <t>Cargue inicial oficial desde INVENTARIO.xlsx</t>
        </is>
      </c>
      <c r="M92" s="59" t="n">
        <v>46264</v>
      </c>
    </row>
    <row r="93">
      <c r="A93" t="n">
        <v>5444</v>
      </c>
      <c r="B93" t="inlineStr">
        <is>
          <t>ESTOPA</t>
        </is>
      </c>
      <c r="C93" t="inlineStr">
        <is>
          <t>Materiales</t>
        </is>
      </c>
      <c r="D93" t="inlineStr">
        <is>
          <t>General</t>
        </is>
      </c>
      <c r="E93" t="inlineStr">
        <is>
          <t>Unidad</t>
        </is>
      </c>
      <c r="F93" t="inlineStr">
        <is>
          <t>Generico</t>
        </is>
      </c>
      <c r="G93" t="inlineStr">
        <is>
          <t>-</t>
        </is>
      </c>
      <c r="H93" t="inlineStr">
        <is>
          <t>-</t>
        </is>
      </c>
      <c r="I93" t="inlineStr">
        <is>
          <t>NO APLICA</t>
        </is>
      </c>
      <c r="J93" t="n">
        <v>5</v>
      </c>
      <c r="K93" t="inlineStr">
        <is>
          <t>Activo</t>
        </is>
      </c>
      <c r="L93" t="inlineStr">
        <is>
          <t>Cargue inicial oficial desde INVENTARIO.xlsx</t>
        </is>
      </c>
      <c r="M93" s="59" t="n">
        <v>46264</v>
      </c>
    </row>
    <row r="94">
      <c r="A94" t="n">
        <v>5448</v>
      </c>
      <c r="B94" t="inlineStr">
        <is>
          <t>GABINETE TAPA GRIS 478X344X216 MM KOWET</t>
        </is>
      </c>
      <c r="C94" t="inlineStr">
        <is>
          <t>Materiales</t>
        </is>
      </c>
      <c r="D94" t="inlineStr">
        <is>
          <t>General</t>
        </is>
      </c>
      <c r="E94" t="inlineStr">
        <is>
          <t>Unidad</t>
        </is>
      </c>
      <c r="F94" t="inlineStr">
        <is>
          <t>Generico</t>
        </is>
      </c>
      <c r="G94" t="inlineStr">
        <is>
          <t>-</t>
        </is>
      </c>
      <c r="H94" t="inlineStr">
        <is>
          <t>-</t>
        </is>
      </c>
      <c r="I94" t="inlineStr">
        <is>
          <t>NO APLICA</t>
        </is>
      </c>
      <c r="J94" t="n">
        <v>5</v>
      </c>
      <c r="K94" t="inlineStr">
        <is>
          <t>Activo</t>
        </is>
      </c>
      <c r="L94" t="inlineStr">
        <is>
          <t>Cargue inicial oficial desde INVENTARIO.xlsx</t>
        </is>
      </c>
      <c r="M94" s="59" t="n">
        <v>46264</v>
      </c>
    </row>
    <row r="95">
      <c r="A95" t="n">
        <v>5449</v>
      </c>
      <c r="B95" t="inlineStr">
        <is>
          <t>HEBILLA BANDIT 1/2"</t>
        </is>
      </c>
      <c r="C95" t="inlineStr">
        <is>
          <t>Materiales</t>
        </is>
      </c>
      <c r="D95" t="inlineStr">
        <is>
          <t>General</t>
        </is>
      </c>
      <c r="E95" t="inlineStr">
        <is>
          <t>Unidad</t>
        </is>
      </c>
      <c r="F95" t="inlineStr">
        <is>
          <t>Generico</t>
        </is>
      </c>
      <c r="G95" t="inlineStr">
        <is>
          <t>-</t>
        </is>
      </c>
      <c r="H95" t="inlineStr">
        <is>
          <t>-</t>
        </is>
      </c>
      <c r="I95" t="inlineStr">
        <is>
          <t>NO APLICA</t>
        </is>
      </c>
      <c r="J95" t="n">
        <v>5</v>
      </c>
      <c r="K95" t="inlineStr">
        <is>
          <t>Activo</t>
        </is>
      </c>
      <c r="L95" t="inlineStr">
        <is>
          <t>Cargue inicial oficial desde INVENTARIO.xlsx</t>
        </is>
      </c>
      <c r="M95" s="59" t="n">
        <v>46264</v>
      </c>
    </row>
    <row r="96">
      <c r="A96" t="n">
        <v>5459</v>
      </c>
      <c r="B96" t="inlineStr">
        <is>
          <t>MARCADOR CABLE TIPO FLECHA DEXSON</t>
        </is>
      </c>
      <c r="C96" t="inlineStr">
        <is>
          <t>Cableado</t>
        </is>
      </c>
      <c r="D96" t="inlineStr">
        <is>
          <t>General</t>
        </is>
      </c>
      <c r="E96" t="inlineStr">
        <is>
          <t>Metro</t>
        </is>
      </c>
      <c r="F96" t="inlineStr">
        <is>
          <t>Generico</t>
        </is>
      </c>
      <c r="G96" t="inlineStr">
        <is>
          <t>-</t>
        </is>
      </c>
      <c r="H96" t="inlineStr">
        <is>
          <t>-</t>
        </is>
      </c>
      <c r="I96" t="inlineStr">
        <is>
          <t>NO APLICA</t>
        </is>
      </c>
      <c r="J96" t="n">
        <v>5</v>
      </c>
      <c r="K96" t="inlineStr">
        <is>
          <t>Activo</t>
        </is>
      </c>
      <c r="L96" t="inlineStr">
        <is>
          <t>Cargue inicial oficial desde INVENTARIO.xlsx</t>
        </is>
      </c>
      <c r="M96" s="59" t="n">
        <v>46264</v>
      </c>
    </row>
    <row r="97">
      <c r="A97" t="n">
        <v>5460</v>
      </c>
      <c r="B97" t="inlineStr">
        <is>
          <t>MARCADOR INDUSTRIAL AMARILLO</t>
        </is>
      </c>
      <c r="C97" t="inlineStr">
        <is>
          <t>Materiales</t>
        </is>
      </c>
      <c r="D97" t="inlineStr">
        <is>
          <t>General</t>
        </is>
      </c>
      <c r="E97" t="inlineStr">
        <is>
          <t>Unidad</t>
        </is>
      </c>
      <c r="F97" t="inlineStr">
        <is>
          <t>Generico</t>
        </is>
      </c>
      <c r="G97" t="inlineStr">
        <is>
          <t>-</t>
        </is>
      </c>
      <c r="H97" t="inlineStr">
        <is>
          <t>-</t>
        </is>
      </c>
      <c r="I97" t="inlineStr">
        <is>
          <t>NO APLICA</t>
        </is>
      </c>
      <c r="J97" t="n">
        <v>5</v>
      </c>
      <c r="K97" t="inlineStr">
        <is>
          <t>Activo</t>
        </is>
      </c>
      <c r="L97" t="inlineStr">
        <is>
          <t>Cargue inicial oficial desde INVENTARIO.xlsx</t>
        </is>
      </c>
      <c r="M97" s="59" t="n">
        <v>46264</v>
      </c>
    </row>
    <row r="98">
      <c r="A98" t="n">
        <v>5461</v>
      </c>
      <c r="B98" t="inlineStr">
        <is>
          <t>MOLDE PARA SOLDADURA EXOTÉRMICA TIPO T</t>
        </is>
      </c>
      <c r="C98" t="inlineStr">
        <is>
          <t>Consumibles</t>
        </is>
      </c>
      <c r="D98" t="inlineStr">
        <is>
          <t>General</t>
        </is>
      </c>
      <c r="E98" t="inlineStr">
        <is>
          <t>Unidad</t>
        </is>
      </c>
      <c r="F98" t="inlineStr">
        <is>
          <t>Generico</t>
        </is>
      </c>
      <c r="G98" t="inlineStr">
        <is>
          <t>-</t>
        </is>
      </c>
      <c r="H98" t="inlineStr">
        <is>
          <t>-</t>
        </is>
      </c>
      <c r="I98" t="inlineStr">
        <is>
          <t>NO APLICA</t>
        </is>
      </c>
      <c r="J98" t="n">
        <v>5</v>
      </c>
      <c r="K98" t="inlineStr">
        <is>
          <t>Activo</t>
        </is>
      </c>
      <c r="L98" t="inlineStr">
        <is>
          <t>Cargue inicial oficial desde INVENTARIO.xlsx</t>
        </is>
      </c>
      <c r="M98" s="59" t="n">
        <v>46264</v>
      </c>
    </row>
    <row r="99">
      <c r="A99" t="n">
        <v>5462</v>
      </c>
      <c r="B99" t="inlineStr">
        <is>
          <t>NYLON GRUESO 100 MT</t>
        </is>
      </c>
      <c r="C99" t="inlineStr">
        <is>
          <t>Materiales</t>
        </is>
      </c>
      <c r="D99" t="inlineStr">
        <is>
          <t>General</t>
        </is>
      </c>
      <c r="E99" t="inlineStr">
        <is>
          <t>Unidad</t>
        </is>
      </c>
      <c r="F99" t="inlineStr">
        <is>
          <t>Generico</t>
        </is>
      </c>
      <c r="G99" t="inlineStr">
        <is>
          <t>-</t>
        </is>
      </c>
      <c r="H99" t="inlineStr">
        <is>
          <t>-</t>
        </is>
      </c>
      <c r="I99" t="inlineStr">
        <is>
          <t>NO APLICA</t>
        </is>
      </c>
      <c r="J99" t="n">
        <v>5</v>
      </c>
      <c r="K99" t="inlineStr">
        <is>
          <t>Activo</t>
        </is>
      </c>
      <c r="L99" t="inlineStr">
        <is>
          <t>Cargue inicial oficial desde INVENTARIO.xlsx</t>
        </is>
      </c>
      <c r="M99" s="59" t="n">
        <v>46264</v>
      </c>
    </row>
    <row r="100">
      <c r="A100" t="n">
        <v>5465</v>
      </c>
      <c r="B100" t="inlineStr">
        <is>
          <t>PRENSA ESTOPA 1/2" DEXSON</t>
        </is>
      </c>
      <c r="C100" t="inlineStr">
        <is>
          <t>Materiales</t>
        </is>
      </c>
      <c r="D100" t="inlineStr">
        <is>
          <t>General</t>
        </is>
      </c>
      <c r="E100" t="inlineStr">
        <is>
          <t>Unidad</t>
        </is>
      </c>
      <c r="F100" t="inlineStr">
        <is>
          <t>Generico</t>
        </is>
      </c>
      <c r="G100" t="inlineStr">
        <is>
          <t>-</t>
        </is>
      </c>
      <c r="H100" t="inlineStr">
        <is>
          <t>-</t>
        </is>
      </c>
      <c r="I100" t="inlineStr">
        <is>
          <t>NO APLICA</t>
        </is>
      </c>
      <c r="J100" t="n">
        <v>5</v>
      </c>
      <c r="K100" t="inlineStr">
        <is>
          <t>Activo</t>
        </is>
      </c>
      <c r="L100" t="inlineStr">
        <is>
          <t>Cargue inicial oficial desde INVENTARIO.xlsx</t>
        </is>
      </c>
      <c r="M100" s="59" t="n">
        <v>46264</v>
      </c>
    </row>
    <row r="101">
      <c r="A101" t="n">
        <v>5466</v>
      </c>
      <c r="B101" t="inlineStr">
        <is>
          <t>PRENSA ESTOPA 3/4" DEXSON</t>
        </is>
      </c>
      <c r="C101" t="inlineStr">
        <is>
          <t>Materiales</t>
        </is>
      </c>
      <c r="D101" t="inlineStr">
        <is>
          <t>General</t>
        </is>
      </c>
      <c r="E101" t="inlineStr">
        <is>
          <t>Unidad</t>
        </is>
      </c>
      <c r="F101" t="inlineStr">
        <is>
          <t>Generico</t>
        </is>
      </c>
      <c r="G101" t="inlineStr">
        <is>
          <t>-</t>
        </is>
      </c>
      <c r="H101" t="inlineStr">
        <is>
          <t>-</t>
        </is>
      </c>
      <c r="I101" t="inlineStr">
        <is>
          <t>NO APLICA</t>
        </is>
      </c>
      <c r="J101" t="n">
        <v>5</v>
      </c>
      <c r="K101" t="inlineStr">
        <is>
          <t>Activo</t>
        </is>
      </c>
      <c r="L101" t="inlineStr">
        <is>
          <t>Cargue inicial oficial desde INVENTARIO.xlsx</t>
        </is>
      </c>
      <c r="M101" s="59" t="n">
        <v>46264</v>
      </c>
    </row>
    <row r="102">
      <c r="A102" t="n">
        <v>5467</v>
      </c>
      <c r="B102" t="inlineStr">
        <is>
          <t>PRENSA ESTOPA 3/8" DEXSON</t>
        </is>
      </c>
      <c r="C102" t="inlineStr">
        <is>
          <t>Materiales</t>
        </is>
      </c>
      <c r="D102" t="inlineStr">
        <is>
          <t>General</t>
        </is>
      </c>
      <c r="E102" t="inlineStr">
        <is>
          <t>Unidad</t>
        </is>
      </c>
      <c r="F102" t="inlineStr">
        <is>
          <t>Generico</t>
        </is>
      </c>
      <c r="G102" t="inlineStr">
        <is>
          <t>-</t>
        </is>
      </c>
      <c r="H102" t="inlineStr">
        <is>
          <t>-</t>
        </is>
      </c>
      <c r="I102" t="inlineStr">
        <is>
          <t>NO APLICA</t>
        </is>
      </c>
      <c r="J102" t="n">
        <v>5</v>
      </c>
      <c r="K102" t="inlineStr">
        <is>
          <t>Activo</t>
        </is>
      </c>
      <c r="L102" t="inlineStr">
        <is>
          <t>Cargue inicial oficial desde INVENTARIO.xlsx</t>
        </is>
      </c>
      <c r="M102" s="59" t="n">
        <v>46264</v>
      </c>
    </row>
    <row r="103">
      <c r="A103" t="n">
        <v>5468</v>
      </c>
      <c r="B103" t="inlineStr">
        <is>
          <t>PRENSA ESTOPA 5/8" DEXSON</t>
        </is>
      </c>
      <c r="C103" t="inlineStr">
        <is>
          <t>Materiales</t>
        </is>
      </c>
      <c r="D103" t="inlineStr">
        <is>
          <t>General</t>
        </is>
      </c>
      <c r="E103" t="inlineStr">
        <is>
          <t>Unidad</t>
        </is>
      </c>
      <c r="F103" t="inlineStr">
        <is>
          <t>Generico</t>
        </is>
      </c>
      <c r="G103" t="inlineStr">
        <is>
          <t>-</t>
        </is>
      </c>
      <c r="H103" t="inlineStr">
        <is>
          <t>-</t>
        </is>
      </c>
      <c r="I103" t="inlineStr">
        <is>
          <t>NO APLICA</t>
        </is>
      </c>
      <c r="J103" t="n">
        <v>5</v>
      </c>
      <c r="K103" t="inlineStr">
        <is>
          <t>Activo</t>
        </is>
      </c>
      <c r="L103" t="inlineStr">
        <is>
          <t>Cargue inicial oficial desde INVENTARIO.xlsx</t>
        </is>
      </c>
      <c r="M103" s="59" t="n">
        <v>46264</v>
      </c>
    </row>
    <row r="104">
      <c r="A104" t="n">
        <v>5471</v>
      </c>
      <c r="B104" t="inlineStr">
        <is>
          <t>RIEL OMEGA</t>
        </is>
      </c>
      <c r="C104" t="inlineStr">
        <is>
          <t>Materiales</t>
        </is>
      </c>
      <c r="D104" t="inlineStr">
        <is>
          <t>General</t>
        </is>
      </c>
      <c r="E104" t="inlineStr">
        <is>
          <t>Unidad</t>
        </is>
      </c>
      <c r="F104" t="inlineStr">
        <is>
          <t>Generico</t>
        </is>
      </c>
      <c r="G104" t="inlineStr">
        <is>
          <t>-</t>
        </is>
      </c>
      <c r="H104" t="inlineStr">
        <is>
          <t>-</t>
        </is>
      </c>
      <c r="I104" t="inlineStr">
        <is>
          <t>NO APLICA</t>
        </is>
      </c>
      <c r="J104" t="n">
        <v>5</v>
      </c>
      <c r="K104" t="inlineStr">
        <is>
          <t>Activo</t>
        </is>
      </c>
      <c r="L104" t="inlineStr">
        <is>
          <t>Cargue inicial oficial desde INVENTARIO.xlsx</t>
        </is>
      </c>
      <c r="M104" s="59" t="n">
        <v>46264</v>
      </c>
    </row>
    <row r="105">
      <c r="A105" t="n">
        <v>5473</v>
      </c>
      <c r="B105" t="inlineStr">
        <is>
          <t>TABLERO DISTRIBUCION 12 CIRCUITOS FAMATEL</t>
        </is>
      </c>
      <c r="C105" t="inlineStr">
        <is>
          <t>Materiales</t>
        </is>
      </c>
      <c r="D105" t="inlineStr">
        <is>
          <t>General</t>
        </is>
      </c>
      <c r="E105" t="inlineStr">
        <is>
          <t>Unidad</t>
        </is>
      </c>
      <c r="F105" t="inlineStr">
        <is>
          <t>Generico</t>
        </is>
      </c>
      <c r="G105" t="inlineStr">
        <is>
          <t>-</t>
        </is>
      </c>
      <c r="H105" t="inlineStr">
        <is>
          <t>B2</t>
        </is>
      </c>
      <c r="I105" t="inlineStr">
        <is>
          <t>NO APLICA</t>
        </is>
      </c>
      <c r="J105" t="n">
        <v>5</v>
      </c>
      <c r="K105" t="inlineStr">
        <is>
          <t>Activo</t>
        </is>
      </c>
      <c r="L105" t="inlineStr">
        <is>
          <t>Cargue inicial oficial desde INVENTARIO.xlsx</t>
        </is>
      </c>
      <c r="M105" s="59" t="n">
        <v>46264</v>
      </c>
    </row>
    <row r="106">
      <c r="A106" t="n">
        <v>5477</v>
      </c>
      <c r="B106" t="inlineStr">
        <is>
          <t>TABLERO DISTRIBUCION 8 CIRCUITOS FAMATEL</t>
        </is>
      </c>
      <c r="C106" t="inlineStr">
        <is>
          <t>Materiales</t>
        </is>
      </c>
      <c r="D106" t="inlineStr">
        <is>
          <t>General</t>
        </is>
      </c>
      <c r="E106" t="inlineStr">
        <is>
          <t>Unidad</t>
        </is>
      </c>
      <c r="F106" t="inlineStr">
        <is>
          <t>Generico</t>
        </is>
      </c>
      <c r="G106" t="inlineStr">
        <is>
          <t>-</t>
        </is>
      </c>
      <c r="H106" t="inlineStr">
        <is>
          <t>B2</t>
        </is>
      </c>
      <c r="I106" t="inlineStr">
        <is>
          <t>NO APLICA</t>
        </is>
      </c>
      <c r="J106" t="n">
        <v>5</v>
      </c>
      <c r="K106" t="inlineStr">
        <is>
          <t>Activo</t>
        </is>
      </c>
      <c r="L106" t="inlineStr">
        <is>
          <t>Cargue inicial oficial desde INVENTARIO.xlsx</t>
        </is>
      </c>
      <c r="M106" s="59" t="n">
        <v>46264</v>
      </c>
    </row>
    <row r="107">
      <c r="A107" t="n">
        <v>5482</v>
      </c>
      <c r="B107" t="inlineStr">
        <is>
          <t>TOMA AEREO CAUCHO MACHO</t>
        </is>
      </c>
      <c r="C107" t="inlineStr">
        <is>
          <t>Elementos electricos</t>
        </is>
      </c>
      <c r="D107" t="inlineStr">
        <is>
          <t>General</t>
        </is>
      </c>
      <c r="E107" t="inlineStr">
        <is>
          <t>Unidad</t>
        </is>
      </c>
      <c r="F107" t="inlineStr">
        <is>
          <t>Generico</t>
        </is>
      </c>
      <c r="G107" t="inlineStr">
        <is>
          <t>-</t>
        </is>
      </c>
      <c r="H107" t="inlineStr">
        <is>
          <t>-</t>
        </is>
      </c>
      <c r="I107" t="inlineStr">
        <is>
          <t>NO APLICA</t>
        </is>
      </c>
      <c r="J107" t="n">
        <v>5</v>
      </c>
      <c r="K107" t="inlineStr">
        <is>
          <t>Activo</t>
        </is>
      </c>
      <c r="L107" t="inlineStr">
        <is>
          <t>Cargue inicial oficial desde INVENTARIO.xlsx</t>
        </is>
      </c>
      <c r="M107" s="59" t="n">
        <v>46264</v>
      </c>
    </row>
    <row r="108">
      <c r="A108" t="n">
        <v>5483</v>
      </c>
      <c r="B108" t="inlineStr">
        <is>
          <t>TOMA DOBLE CON POLO A TIERRA LEVITON</t>
        </is>
      </c>
      <c r="C108" t="inlineStr">
        <is>
          <t>Elementos electricos</t>
        </is>
      </c>
      <c r="D108" t="inlineStr">
        <is>
          <t>General</t>
        </is>
      </c>
      <c r="E108" t="inlineStr">
        <is>
          <t>Unidad</t>
        </is>
      </c>
      <c r="F108" t="inlineStr">
        <is>
          <t>Generico</t>
        </is>
      </c>
      <c r="G108" t="inlineStr">
        <is>
          <t>-</t>
        </is>
      </c>
      <c r="H108" t="inlineStr">
        <is>
          <t>-</t>
        </is>
      </c>
      <c r="I108" t="inlineStr">
        <is>
          <t>NO APLICA</t>
        </is>
      </c>
      <c r="J108" t="n">
        <v>5</v>
      </c>
      <c r="K108" t="inlineStr">
        <is>
          <t>Activo</t>
        </is>
      </c>
      <c r="L108" t="inlineStr">
        <is>
          <t>Cargue inicial oficial desde INVENTARIO.xlsx</t>
        </is>
      </c>
      <c r="M108" s="59" t="n">
        <v>46264</v>
      </c>
    </row>
    <row r="109">
      <c r="A109" t="n">
        <v>5485</v>
      </c>
      <c r="B109" t="inlineStr">
        <is>
          <t>TOMA NEMA 14-50R DE INCRUSTAR LEVITON</t>
        </is>
      </c>
      <c r="C109" t="inlineStr">
        <is>
          <t>Elementos electricos</t>
        </is>
      </c>
      <c r="D109" t="inlineStr">
        <is>
          <t>General</t>
        </is>
      </c>
      <c r="E109" t="inlineStr">
        <is>
          <t>Unidad</t>
        </is>
      </c>
      <c r="F109" t="inlineStr">
        <is>
          <t>Generico</t>
        </is>
      </c>
      <c r="G109" t="inlineStr">
        <is>
          <t>-</t>
        </is>
      </c>
      <c r="H109" t="inlineStr">
        <is>
          <t>-</t>
        </is>
      </c>
      <c r="I109" t="inlineStr">
        <is>
          <t>NO APLICA</t>
        </is>
      </c>
      <c r="J109" t="n">
        <v>5</v>
      </c>
      <c r="K109" t="inlineStr">
        <is>
          <t>Activo</t>
        </is>
      </c>
      <c r="L109" t="inlineStr">
        <is>
          <t>Cargue inicial oficial desde INVENTARIO.xlsx</t>
        </is>
      </c>
      <c r="M109" s="59" t="n">
        <v>46264</v>
      </c>
    </row>
    <row r="110">
      <c r="A110" t="n">
        <v>5490</v>
      </c>
      <c r="B110" t="inlineStr">
        <is>
          <t>TOMACORRIENTE LEVITON</t>
        </is>
      </c>
      <c r="C110" t="inlineStr">
        <is>
          <t>Elementos electricos</t>
        </is>
      </c>
      <c r="D110" t="inlineStr">
        <is>
          <t>General</t>
        </is>
      </c>
      <c r="E110" t="inlineStr">
        <is>
          <t>Unidad</t>
        </is>
      </c>
      <c r="F110" t="inlineStr">
        <is>
          <t>Generico</t>
        </is>
      </c>
      <c r="G110" t="inlineStr">
        <is>
          <t>-</t>
        </is>
      </c>
      <c r="H110" t="inlineStr">
        <is>
          <t>-</t>
        </is>
      </c>
      <c r="I110" t="inlineStr">
        <is>
          <t>NO APLICA</t>
        </is>
      </c>
      <c r="J110" t="n">
        <v>5</v>
      </c>
      <c r="K110" t="inlineStr">
        <is>
          <t>Activo</t>
        </is>
      </c>
      <c r="L110" t="inlineStr">
        <is>
          <t>Cargue inicial oficial desde INVENTARIO.xlsx</t>
        </is>
      </c>
      <c r="M110" s="59" t="n">
        <v>46264</v>
      </c>
    </row>
    <row r="111">
      <c r="A111" t="n">
        <v>5494</v>
      </c>
      <c r="B111" t="inlineStr">
        <is>
          <t>VARILLA ROSCADA ZINCADA 3/8"</t>
        </is>
      </c>
      <c r="C111" t="inlineStr">
        <is>
          <t>Tornilleria</t>
        </is>
      </c>
      <c r="D111" t="inlineStr">
        <is>
          <t>General</t>
        </is>
      </c>
      <c r="E111" t="inlineStr">
        <is>
          <t>Unidad</t>
        </is>
      </c>
      <c r="F111" t="inlineStr">
        <is>
          <t>Generico</t>
        </is>
      </c>
      <c r="G111" t="inlineStr">
        <is>
          <t>-</t>
        </is>
      </c>
      <c r="H111" t="inlineStr">
        <is>
          <t>-</t>
        </is>
      </c>
      <c r="I111" t="inlineStr">
        <is>
          <t>NO APLICA</t>
        </is>
      </c>
      <c r="J111" t="n">
        <v>5</v>
      </c>
      <c r="K111" t="inlineStr">
        <is>
          <t>Activo</t>
        </is>
      </c>
      <c r="L111" t="inlineStr">
        <is>
          <t>Cargue inicial oficial desde INVENTARIO.xlsx</t>
        </is>
      </c>
      <c r="M111" s="59" t="n">
        <v>46264</v>
      </c>
    </row>
    <row r="112">
      <c r="A112" t="n">
        <v>5739</v>
      </c>
      <c r="B112" t="inlineStr">
        <is>
          <t>ARANDELA ACERO INOXIDABLE 1/4"</t>
        </is>
      </c>
      <c r="C112" t="inlineStr">
        <is>
          <t>Tornilleria</t>
        </is>
      </c>
      <c r="D112" t="inlineStr">
        <is>
          <t>General</t>
        </is>
      </c>
      <c r="E112" t="inlineStr">
        <is>
          <t>Unidad</t>
        </is>
      </c>
      <c r="F112" t="inlineStr">
        <is>
          <t>Generico</t>
        </is>
      </c>
      <c r="G112" t="inlineStr">
        <is>
          <t>-</t>
        </is>
      </c>
      <c r="H112" t="inlineStr">
        <is>
          <t>-</t>
        </is>
      </c>
      <c r="I112" t="inlineStr">
        <is>
          <t>NO APLICA</t>
        </is>
      </c>
      <c r="J112" t="n">
        <v>5</v>
      </c>
      <c r="K112" t="inlineStr">
        <is>
          <t>Activo</t>
        </is>
      </c>
      <c r="L112" t="inlineStr">
        <is>
          <t>Cargue inicial oficial desde INVENTARIO.xlsx</t>
        </is>
      </c>
      <c r="M112" s="59" t="n">
        <v>46264</v>
      </c>
    </row>
    <row r="113">
      <c r="A113" t="n">
        <v>5741</v>
      </c>
      <c r="B113" t="inlineStr">
        <is>
          <t>ARANDELA ACERO INOXIDABLE 3/8"</t>
        </is>
      </c>
      <c r="C113" t="inlineStr">
        <is>
          <t>Tornilleria</t>
        </is>
      </c>
      <c r="D113" t="inlineStr">
        <is>
          <t>General</t>
        </is>
      </c>
      <c r="E113" t="inlineStr">
        <is>
          <t>Unidad</t>
        </is>
      </c>
      <c r="F113" t="inlineStr">
        <is>
          <t>Generico</t>
        </is>
      </c>
      <c r="G113" t="inlineStr">
        <is>
          <t>-</t>
        </is>
      </c>
      <c r="H113" t="inlineStr">
        <is>
          <t>-</t>
        </is>
      </c>
      <c r="I113" t="inlineStr">
        <is>
          <t>NO APLICA</t>
        </is>
      </c>
      <c r="J113" t="n">
        <v>5</v>
      </c>
      <c r="K113" t="inlineStr">
        <is>
          <t>Activo</t>
        </is>
      </c>
      <c r="L113" t="inlineStr">
        <is>
          <t>Cargue inicial oficial desde INVENTARIO.xlsx</t>
        </is>
      </c>
      <c r="M113" s="59" t="n">
        <v>46264</v>
      </c>
    </row>
    <row r="114">
      <c r="A114" t="n">
        <v>5742</v>
      </c>
      <c r="B114" t="inlineStr">
        <is>
          <t>ARANDELA ACERO INOXIDABLE 5/16"</t>
        </is>
      </c>
      <c r="C114" t="inlineStr">
        <is>
          <t>Tornilleria</t>
        </is>
      </c>
      <c r="D114" t="inlineStr">
        <is>
          <t>General</t>
        </is>
      </c>
      <c r="E114" t="inlineStr">
        <is>
          <t>Unidad</t>
        </is>
      </c>
      <c r="F114" t="inlineStr">
        <is>
          <t>Generico</t>
        </is>
      </c>
      <c r="G114" t="inlineStr">
        <is>
          <t>-</t>
        </is>
      </c>
      <c r="H114" t="inlineStr">
        <is>
          <t>-</t>
        </is>
      </c>
      <c r="I114" t="inlineStr">
        <is>
          <t>NO APLICA</t>
        </is>
      </c>
      <c r="J114" t="n">
        <v>5</v>
      </c>
      <c r="K114" t="inlineStr">
        <is>
          <t>Activo</t>
        </is>
      </c>
      <c r="L114" t="inlineStr">
        <is>
          <t>Cargue inicial oficial desde INVENTARIO.xlsx</t>
        </is>
      </c>
      <c r="M114" s="59" t="n">
        <v>46264</v>
      </c>
    </row>
    <row r="115">
      <c r="A115" t="n">
        <v>5743</v>
      </c>
      <c r="B115" t="inlineStr">
        <is>
          <t>ARANDELA CUADRADA 4X4 CM</t>
        </is>
      </c>
      <c r="C115" t="inlineStr">
        <is>
          <t>Tornilleria</t>
        </is>
      </c>
      <c r="D115" t="inlineStr">
        <is>
          <t>General</t>
        </is>
      </c>
      <c r="E115" t="inlineStr">
        <is>
          <t>Unidad</t>
        </is>
      </c>
      <c r="F115" t="inlineStr">
        <is>
          <t>Generico</t>
        </is>
      </c>
      <c r="G115" t="inlineStr">
        <is>
          <t>-</t>
        </is>
      </c>
      <c r="H115" t="inlineStr">
        <is>
          <t>-</t>
        </is>
      </c>
      <c r="I115" t="inlineStr">
        <is>
          <t>NO APLICA</t>
        </is>
      </c>
      <c r="J115" t="n">
        <v>5</v>
      </c>
      <c r="K115" t="inlineStr">
        <is>
          <t>Activo</t>
        </is>
      </c>
      <c r="L115" t="inlineStr">
        <is>
          <t>Cargue inicial oficial desde INVENTARIO.xlsx</t>
        </is>
      </c>
      <c r="M115" s="59" t="n">
        <v>46264</v>
      </c>
    </row>
    <row r="116">
      <c r="A116" t="n">
        <v>5752</v>
      </c>
      <c r="B116" t="inlineStr">
        <is>
          <t>ARANDELA GALVANIZADA EN CALIENTE 3/8"</t>
        </is>
      </c>
      <c r="C116" t="inlineStr">
        <is>
          <t>Tornilleria</t>
        </is>
      </c>
      <c r="D116" t="inlineStr">
        <is>
          <t>General</t>
        </is>
      </c>
      <c r="E116" t="inlineStr">
        <is>
          <t>Unidad</t>
        </is>
      </c>
      <c r="F116" t="inlineStr">
        <is>
          <t>Generico</t>
        </is>
      </c>
      <c r="G116" t="inlineStr">
        <is>
          <t>-</t>
        </is>
      </c>
      <c r="H116" t="inlineStr">
        <is>
          <t>-</t>
        </is>
      </c>
      <c r="I116" t="inlineStr">
        <is>
          <t>NO APLICA</t>
        </is>
      </c>
      <c r="J116" t="n">
        <v>5</v>
      </c>
      <c r="K116" t="inlineStr">
        <is>
          <t>Activo</t>
        </is>
      </c>
      <c r="L116" t="inlineStr">
        <is>
          <t>Cargue inicial oficial desde INVENTARIO.xlsx</t>
        </is>
      </c>
      <c r="M116" s="59" t="n">
        <v>46264</v>
      </c>
    </row>
    <row r="117">
      <c r="A117" t="n">
        <v>5753</v>
      </c>
      <c r="B117" t="inlineStr">
        <is>
          <t>ARANDELA GALVANIZADA EN CALIENTE 5/16"</t>
        </is>
      </c>
      <c r="C117" t="inlineStr">
        <is>
          <t>Tornilleria</t>
        </is>
      </c>
      <c r="D117" t="inlineStr">
        <is>
          <t>General</t>
        </is>
      </c>
      <c r="E117" t="inlineStr">
        <is>
          <t>Unidad</t>
        </is>
      </c>
      <c r="F117" t="inlineStr">
        <is>
          <t>Generico</t>
        </is>
      </c>
      <c r="G117" t="inlineStr">
        <is>
          <t>-</t>
        </is>
      </c>
      <c r="H117" t="inlineStr">
        <is>
          <t>-</t>
        </is>
      </c>
      <c r="I117" t="inlineStr">
        <is>
          <t>NO APLICA</t>
        </is>
      </c>
      <c r="J117" t="n">
        <v>5</v>
      </c>
      <c r="K117" t="inlineStr">
        <is>
          <t>Activo</t>
        </is>
      </c>
      <c r="L117" t="inlineStr">
        <is>
          <t>Cargue inicial oficial desde INVENTARIO.xlsx</t>
        </is>
      </c>
      <c r="M117" s="59" t="n">
        <v>46264</v>
      </c>
    </row>
    <row r="118">
      <c r="A118" t="n">
        <v>5754</v>
      </c>
      <c r="B118" t="inlineStr">
        <is>
          <t>ARANDELA TROPICALIZADA 1/2"</t>
        </is>
      </c>
      <c r="C118" t="inlineStr">
        <is>
          <t>Tornilleria</t>
        </is>
      </c>
      <c r="D118" t="inlineStr">
        <is>
          <t>General</t>
        </is>
      </c>
      <c r="E118" t="inlineStr">
        <is>
          <t>Unidad</t>
        </is>
      </c>
      <c r="F118" t="inlineStr">
        <is>
          <t>Generico</t>
        </is>
      </c>
      <c r="G118" t="inlineStr">
        <is>
          <t>-</t>
        </is>
      </c>
      <c r="H118" t="inlineStr">
        <is>
          <t>-</t>
        </is>
      </c>
      <c r="I118" t="inlineStr">
        <is>
          <t>NO APLICA</t>
        </is>
      </c>
      <c r="J118" t="n">
        <v>5</v>
      </c>
      <c r="K118" t="inlineStr">
        <is>
          <t>Activo</t>
        </is>
      </c>
      <c r="L118" t="inlineStr">
        <is>
          <t>Cargue inicial oficial desde INVENTARIO.xlsx</t>
        </is>
      </c>
      <c r="M118" s="59" t="n">
        <v>46264</v>
      </c>
    </row>
    <row r="119">
      <c r="A119" t="n">
        <v>5755</v>
      </c>
      <c r="B119" t="inlineStr">
        <is>
          <t>ARANDELA TROPICALIZADA 1/4"</t>
        </is>
      </c>
      <c r="C119" t="inlineStr">
        <is>
          <t>Tornilleria</t>
        </is>
      </c>
      <c r="D119" t="inlineStr">
        <is>
          <t>General</t>
        </is>
      </c>
      <c r="E119" t="inlineStr">
        <is>
          <t>Unidad</t>
        </is>
      </c>
      <c r="F119" t="inlineStr">
        <is>
          <t>Generico</t>
        </is>
      </c>
      <c r="G119" t="inlineStr">
        <is>
          <t>-</t>
        </is>
      </c>
      <c r="H119" t="inlineStr">
        <is>
          <t>-</t>
        </is>
      </c>
      <c r="I119" t="inlineStr">
        <is>
          <t>NO APLICA</t>
        </is>
      </c>
      <c r="J119" t="n">
        <v>5</v>
      </c>
      <c r="K119" t="inlineStr">
        <is>
          <t>Activo</t>
        </is>
      </c>
      <c r="L119" t="inlineStr">
        <is>
          <t>Cargue inicial oficial desde INVENTARIO.xlsx</t>
        </is>
      </c>
      <c r="M119" s="59" t="n">
        <v>46264</v>
      </c>
    </row>
    <row r="120">
      <c r="A120" t="n">
        <v>5757</v>
      </c>
      <c r="B120" t="inlineStr">
        <is>
          <t>ARANDELA TROPICALIZADA 3/8”</t>
        </is>
      </c>
      <c r="C120" t="inlineStr">
        <is>
          <t>Tornilleria</t>
        </is>
      </c>
      <c r="D120" t="inlineStr">
        <is>
          <t>General</t>
        </is>
      </c>
      <c r="E120" t="inlineStr">
        <is>
          <t>Unidad</t>
        </is>
      </c>
      <c r="F120" t="inlineStr">
        <is>
          <t>Generico</t>
        </is>
      </c>
      <c r="G120" t="inlineStr">
        <is>
          <t>-</t>
        </is>
      </c>
      <c r="H120" t="inlineStr">
        <is>
          <t>-</t>
        </is>
      </c>
      <c r="I120" t="inlineStr">
        <is>
          <t>NO APLICA</t>
        </is>
      </c>
      <c r="J120" t="n">
        <v>5</v>
      </c>
      <c r="K120" t="inlineStr">
        <is>
          <t>Activo</t>
        </is>
      </c>
      <c r="L120" t="inlineStr">
        <is>
          <t>Cargue inicial oficial desde INVENTARIO.xlsx</t>
        </is>
      </c>
      <c r="M120" s="59" t="n">
        <v>46264</v>
      </c>
    </row>
    <row r="121">
      <c r="A121" t="n">
        <v>5758</v>
      </c>
      <c r="B121" t="inlineStr">
        <is>
          <t>ARANDELA TROPICALIZADA 5/16”</t>
        </is>
      </c>
      <c r="C121" t="inlineStr">
        <is>
          <t>Tornilleria</t>
        </is>
      </c>
      <c r="D121" t="inlineStr">
        <is>
          <t>General</t>
        </is>
      </c>
      <c r="E121" t="inlineStr">
        <is>
          <t>Unidad</t>
        </is>
      </c>
      <c r="F121" t="inlineStr">
        <is>
          <t>Generico</t>
        </is>
      </c>
      <c r="G121" t="inlineStr">
        <is>
          <t>-</t>
        </is>
      </c>
      <c r="H121" t="inlineStr">
        <is>
          <t>-</t>
        </is>
      </c>
      <c r="I121" t="inlineStr">
        <is>
          <t>NO APLICA</t>
        </is>
      </c>
      <c r="J121" t="n">
        <v>5</v>
      </c>
      <c r="K121" t="inlineStr">
        <is>
          <t>Activo</t>
        </is>
      </c>
      <c r="L121" t="inlineStr">
        <is>
          <t>Cargue inicial oficial desde INVENTARIO.xlsx</t>
        </is>
      </c>
      <c r="M121" s="59" t="n">
        <v>46264</v>
      </c>
    </row>
    <row r="122">
      <c r="A122" t="n">
        <v>5759</v>
      </c>
      <c r="B122" t="inlineStr">
        <is>
          <t>ARANDELA ZINCADA 1/2"</t>
        </is>
      </c>
      <c r="C122" t="inlineStr">
        <is>
          <t>Tornilleria</t>
        </is>
      </c>
      <c r="D122" t="inlineStr">
        <is>
          <t>General</t>
        </is>
      </c>
      <c r="E122" t="inlineStr">
        <is>
          <t>Unidad</t>
        </is>
      </c>
      <c r="F122" t="inlineStr">
        <is>
          <t>Generico</t>
        </is>
      </c>
      <c r="G122" t="inlineStr">
        <is>
          <t>-</t>
        </is>
      </c>
      <c r="H122" t="inlineStr">
        <is>
          <t>-</t>
        </is>
      </c>
      <c r="I122" t="inlineStr">
        <is>
          <t>NO APLICA</t>
        </is>
      </c>
      <c r="J122" t="n">
        <v>5</v>
      </c>
      <c r="K122" t="inlineStr">
        <is>
          <t>Activo</t>
        </is>
      </c>
      <c r="L122" t="inlineStr">
        <is>
          <t>Cargue inicial oficial desde INVENTARIO.xlsx</t>
        </is>
      </c>
      <c r="M122" s="59" t="n">
        <v>46264</v>
      </c>
    </row>
    <row r="123">
      <c r="A123" t="n">
        <v>5767</v>
      </c>
      <c r="B123" t="inlineStr">
        <is>
          <t>BROCA ACERO 1/4"</t>
        </is>
      </c>
      <c r="C123" t="inlineStr">
        <is>
          <t>Materiales</t>
        </is>
      </c>
      <c r="D123" t="inlineStr">
        <is>
          <t>General</t>
        </is>
      </c>
      <c r="E123" t="inlineStr">
        <is>
          <t>Unidad</t>
        </is>
      </c>
      <c r="F123" t="inlineStr">
        <is>
          <t>Generico</t>
        </is>
      </c>
      <c r="G123" t="inlineStr">
        <is>
          <t>-</t>
        </is>
      </c>
      <c r="H123" t="inlineStr">
        <is>
          <t>-</t>
        </is>
      </c>
      <c r="I123" t="inlineStr">
        <is>
          <t>NO APLICA</t>
        </is>
      </c>
      <c r="J123" t="n">
        <v>5</v>
      </c>
      <c r="K123" t="inlineStr">
        <is>
          <t>Activo</t>
        </is>
      </c>
      <c r="L123" t="inlineStr">
        <is>
          <t>Cargue inicial oficial desde INVENTARIO.xlsx</t>
        </is>
      </c>
      <c r="M123" s="59" t="n">
        <v>46264</v>
      </c>
    </row>
    <row r="124">
      <c r="A124" t="n">
        <v>5774</v>
      </c>
      <c r="B124" t="inlineStr">
        <is>
          <t>BROCA ESCALONADA 3/16"</t>
        </is>
      </c>
      <c r="C124" t="inlineStr">
        <is>
          <t>Materiales</t>
        </is>
      </c>
      <c r="D124" t="inlineStr">
        <is>
          <t>General</t>
        </is>
      </c>
      <c r="E124" t="inlineStr">
        <is>
          <t>Unidad</t>
        </is>
      </c>
      <c r="F124" t="inlineStr">
        <is>
          <t>Generico</t>
        </is>
      </c>
      <c r="G124" t="inlineStr">
        <is>
          <t>-</t>
        </is>
      </c>
      <c r="H124" t="inlineStr">
        <is>
          <t>-</t>
        </is>
      </c>
      <c r="I124" t="inlineStr">
        <is>
          <t>NO APLICA</t>
        </is>
      </c>
      <c r="J124" t="n">
        <v>5</v>
      </c>
      <c r="K124" t="inlineStr">
        <is>
          <t>Activo</t>
        </is>
      </c>
      <c r="L124" t="inlineStr">
        <is>
          <t>Cargue inicial oficial desde INVENTARIO.xlsx</t>
        </is>
      </c>
      <c r="M124" s="59" t="n">
        <v>46264</v>
      </c>
    </row>
    <row r="125">
      <c r="A125" t="n">
        <v>5777</v>
      </c>
      <c r="B125" t="inlineStr">
        <is>
          <t>BROCA LAMINA 1/4"</t>
        </is>
      </c>
      <c r="C125" t="inlineStr">
        <is>
          <t>Materiales</t>
        </is>
      </c>
      <c r="D125" t="inlineStr">
        <is>
          <t>General</t>
        </is>
      </c>
      <c r="E125" t="inlineStr">
        <is>
          <t>Unidad</t>
        </is>
      </c>
      <c r="F125" t="inlineStr">
        <is>
          <t>Generico</t>
        </is>
      </c>
      <c r="G125" t="inlineStr">
        <is>
          <t>-</t>
        </is>
      </c>
      <c r="H125" t="inlineStr">
        <is>
          <t>-</t>
        </is>
      </c>
      <c r="I125" t="inlineStr">
        <is>
          <t>NO APLICA</t>
        </is>
      </c>
      <c r="J125" t="n">
        <v>5</v>
      </c>
      <c r="K125" t="inlineStr">
        <is>
          <t>Activo</t>
        </is>
      </c>
      <c r="L125" t="inlineStr">
        <is>
          <t>Cargue inicial oficial desde INVENTARIO.xlsx</t>
        </is>
      </c>
      <c r="M125" s="59" t="n">
        <v>46264</v>
      </c>
    </row>
    <row r="126">
      <c r="A126" t="n">
        <v>5778</v>
      </c>
      <c r="B126" t="inlineStr">
        <is>
          <t>BROCA LAMINA 3/8"</t>
        </is>
      </c>
      <c r="C126" t="inlineStr">
        <is>
          <t>Materiales</t>
        </is>
      </c>
      <c r="D126" t="inlineStr">
        <is>
          <t>General</t>
        </is>
      </c>
      <c r="E126" t="inlineStr">
        <is>
          <t>Unidad</t>
        </is>
      </c>
      <c r="F126" t="inlineStr">
        <is>
          <t>Generico</t>
        </is>
      </c>
      <c r="G126" t="inlineStr">
        <is>
          <t>-</t>
        </is>
      </c>
      <c r="H126" t="inlineStr">
        <is>
          <t>-</t>
        </is>
      </c>
      <c r="I126" t="inlineStr">
        <is>
          <t>NO APLICA</t>
        </is>
      </c>
      <c r="J126" t="n">
        <v>5</v>
      </c>
      <c r="K126" t="inlineStr">
        <is>
          <t>Activo</t>
        </is>
      </c>
      <c r="L126" t="inlineStr">
        <is>
          <t>Cargue inicial oficial desde INVENTARIO.xlsx</t>
        </is>
      </c>
      <c r="M126" s="59" t="n">
        <v>46264</v>
      </c>
    </row>
    <row r="127">
      <c r="A127" t="n">
        <v>5779</v>
      </c>
      <c r="B127" t="inlineStr">
        <is>
          <t>BROCA LAMINA 5/16"</t>
        </is>
      </c>
      <c r="C127" t="inlineStr">
        <is>
          <t>Materiales</t>
        </is>
      </c>
      <c r="D127" t="inlineStr">
        <is>
          <t>General</t>
        </is>
      </c>
      <c r="E127" t="inlineStr">
        <is>
          <t>Unidad</t>
        </is>
      </c>
      <c r="F127" t="inlineStr">
        <is>
          <t>Generico</t>
        </is>
      </c>
      <c r="G127" t="inlineStr">
        <is>
          <t>-</t>
        </is>
      </c>
      <c r="H127" t="inlineStr">
        <is>
          <t>-</t>
        </is>
      </c>
      <c r="I127" t="inlineStr">
        <is>
          <t>NO APLICA</t>
        </is>
      </c>
      <c r="J127" t="n">
        <v>5</v>
      </c>
      <c r="K127" t="inlineStr">
        <is>
          <t>Activo</t>
        </is>
      </c>
      <c r="L127" t="inlineStr">
        <is>
          <t>Cargue inicial oficial desde INVENTARIO.xlsx</t>
        </is>
      </c>
      <c r="M127" s="59" t="n">
        <v>46264</v>
      </c>
    </row>
    <row r="128">
      <c r="A128" t="n">
        <v>5781</v>
      </c>
      <c r="B128" t="inlineStr">
        <is>
          <t>BROCA MURO 1/4"</t>
        </is>
      </c>
      <c r="C128" t="inlineStr">
        <is>
          <t>Materiales</t>
        </is>
      </c>
      <c r="D128" t="inlineStr">
        <is>
          <t>General</t>
        </is>
      </c>
      <c r="E128" t="inlineStr">
        <is>
          <t>Unidad</t>
        </is>
      </c>
      <c r="F128" t="inlineStr">
        <is>
          <t>Generico</t>
        </is>
      </c>
      <c r="G128" t="inlineStr">
        <is>
          <t>-</t>
        </is>
      </c>
      <c r="H128" t="inlineStr">
        <is>
          <t>-</t>
        </is>
      </c>
      <c r="I128" t="inlineStr">
        <is>
          <t>NO APLICA</t>
        </is>
      </c>
      <c r="J128" t="n">
        <v>5</v>
      </c>
      <c r="K128" t="inlineStr">
        <is>
          <t>Activo</t>
        </is>
      </c>
      <c r="L128" t="inlineStr">
        <is>
          <t>Cargue inicial oficial desde INVENTARIO.xlsx</t>
        </is>
      </c>
      <c r="M128" s="59" t="n">
        <v>46264</v>
      </c>
    </row>
    <row r="129">
      <c r="A129" t="n">
        <v>5782</v>
      </c>
      <c r="B129" t="inlineStr">
        <is>
          <t>BROCA MURO 3/4"</t>
        </is>
      </c>
      <c r="C129" t="inlineStr">
        <is>
          <t>Materiales</t>
        </is>
      </c>
      <c r="D129" t="inlineStr">
        <is>
          <t>General</t>
        </is>
      </c>
      <c r="E129" t="inlineStr">
        <is>
          <t>Unidad</t>
        </is>
      </c>
      <c r="F129" t="inlineStr">
        <is>
          <t>Generico</t>
        </is>
      </c>
      <c r="G129" t="inlineStr">
        <is>
          <t>-</t>
        </is>
      </c>
      <c r="H129" t="inlineStr">
        <is>
          <t>-</t>
        </is>
      </c>
      <c r="I129" t="inlineStr">
        <is>
          <t>NO APLICA</t>
        </is>
      </c>
      <c r="J129" t="n">
        <v>5</v>
      </c>
      <c r="K129" t="inlineStr">
        <is>
          <t>Activo</t>
        </is>
      </c>
      <c r="L129" t="inlineStr">
        <is>
          <t>Cargue inicial oficial desde INVENTARIO.xlsx</t>
        </is>
      </c>
      <c r="M129" s="59" t="n">
        <v>46264</v>
      </c>
    </row>
    <row r="130">
      <c r="A130" t="n">
        <v>5784</v>
      </c>
      <c r="B130" t="inlineStr">
        <is>
          <t>BROCA MURO 5/16"</t>
        </is>
      </c>
      <c r="C130" t="inlineStr">
        <is>
          <t>Materiales</t>
        </is>
      </c>
      <c r="D130" t="inlineStr">
        <is>
          <t>General</t>
        </is>
      </c>
      <c r="E130" t="inlineStr">
        <is>
          <t>Unidad</t>
        </is>
      </c>
      <c r="F130" t="inlineStr">
        <is>
          <t>Generico</t>
        </is>
      </c>
      <c r="G130" t="inlineStr">
        <is>
          <t>-</t>
        </is>
      </c>
      <c r="H130" t="inlineStr">
        <is>
          <t>-</t>
        </is>
      </c>
      <c r="I130" t="inlineStr">
        <is>
          <t>NO APLICA</t>
        </is>
      </c>
      <c r="J130" t="n">
        <v>5</v>
      </c>
      <c r="K130" t="inlineStr">
        <is>
          <t>Activo</t>
        </is>
      </c>
      <c r="L130" t="inlineStr">
        <is>
          <t>Cargue inicial oficial desde INVENTARIO.xlsx</t>
        </is>
      </c>
      <c r="M130" s="59" t="n">
        <v>46264</v>
      </c>
    </row>
    <row r="131">
      <c r="A131" t="n">
        <v>5789</v>
      </c>
      <c r="B131" t="inlineStr">
        <is>
          <t>CAPUCHON NEOPRENO PARA TORNILLO AUTOPERFORANTE PUNTA BROCA</t>
        </is>
      </c>
      <c r="C131" t="inlineStr">
        <is>
          <t>Tornilleria</t>
        </is>
      </c>
      <c r="D131" t="inlineStr">
        <is>
          <t>General</t>
        </is>
      </c>
      <c r="E131" t="inlineStr">
        <is>
          <t>Unidad</t>
        </is>
      </c>
      <c r="F131" t="inlineStr">
        <is>
          <t>Generico</t>
        </is>
      </c>
      <c r="G131" t="inlineStr">
        <is>
          <t>-</t>
        </is>
      </c>
      <c r="H131" t="inlineStr">
        <is>
          <t>-</t>
        </is>
      </c>
      <c r="I131" t="inlineStr">
        <is>
          <t>NO APLICA</t>
        </is>
      </c>
      <c r="J131" t="n">
        <v>5</v>
      </c>
      <c r="K131" t="inlineStr">
        <is>
          <t>Activo</t>
        </is>
      </c>
      <c r="L131" t="inlineStr">
        <is>
          <t>Cargue inicial oficial desde INVENTARIO.xlsx</t>
        </is>
      </c>
      <c r="M131" s="59" t="n">
        <v>46264</v>
      </c>
    </row>
    <row r="132">
      <c r="A132" t="n">
        <v>5791</v>
      </c>
      <c r="B132" t="inlineStr">
        <is>
          <t>CHAZO EXPANSIVO METALICO 1/2" X 3"</t>
        </is>
      </c>
      <c r="C132" t="inlineStr">
        <is>
          <t>Tornilleria</t>
        </is>
      </c>
      <c r="D132" t="inlineStr">
        <is>
          <t>General</t>
        </is>
      </c>
      <c r="E132" t="inlineStr">
        <is>
          <t>Unidad</t>
        </is>
      </c>
      <c r="F132" t="inlineStr">
        <is>
          <t>Generico</t>
        </is>
      </c>
      <c r="G132" t="inlineStr">
        <is>
          <t>-</t>
        </is>
      </c>
      <c r="H132" t="inlineStr">
        <is>
          <t>-</t>
        </is>
      </c>
      <c r="I132" t="inlineStr">
        <is>
          <t>NO APLICA</t>
        </is>
      </c>
      <c r="J132" t="n">
        <v>5</v>
      </c>
      <c r="K132" t="inlineStr">
        <is>
          <t>Activo</t>
        </is>
      </c>
      <c r="L132" t="inlineStr">
        <is>
          <t>Cargue inicial oficial desde INVENTARIO.xlsx</t>
        </is>
      </c>
      <c r="M132" s="59" t="n">
        <v>46264</v>
      </c>
    </row>
    <row r="133">
      <c r="A133" t="n">
        <v>5799</v>
      </c>
      <c r="B133" t="inlineStr">
        <is>
          <t>CHAZO EXPANSIVO METALICO 5/16" X 2"</t>
        </is>
      </c>
      <c r="C133" t="inlineStr">
        <is>
          <t>Tornilleria</t>
        </is>
      </c>
      <c r="D133" t="inlineStr">
        <is>
          <t>General</t>
        </is>
      </c>
      <c r="E133" t="inlineStr">
        <is>
          <t>Unidad</t>
        </is>
      </c>
      <c r="F133" t="inlineStr">
        <is>
          <t>Generico</t>
        </is>
      </c>
      <c r="G133" t="inlineStr">
        <is>
          <t>-</t>
        </is>
      </c>
      <c r="H133" t="inlineStr">
        <is>
          <t>-</t>
        </is>
      </c>
      <c r="I133" t="inlineStr">
        <is>
          <t>NO APLICA</t>
        </is>
      </c>
      <c r="J133" t="n">
        <v>5</v>
      </c>
      <c r="K133" t="inlineStr">
        <is>
          <t>Activo</t>
        </is>
      </c>
      <c r="L133" t="inlineStr">
        <is>
          <t>Cargue inicial oficial desde INVENTARIO.xlsx</t>
        </is>
      </c>
      <c r="M133" s="59" t="n">
        <v>46264</v>
      </c>
    </row>
    <row r="134">
      <c r="A134" t="n">
        <v>5800</v>
      </c>
      <c r="B134" t="inlineStr">
        <is>
          <t>CHAZO EXPANSIVO METALICO 5/16" X 2-1/2"</t>
        </is>
      </c>
      <c r="C134" t="inlineStr">
        <is>
          <t>Tornilleria</t>
        </is>
      </c>
      <c r="D134" t="inlineStr">
        <is>
          <t>General</t>
        </is>
      </c>
      <c r="E134" t="inlineStr">
        <is>
          <t>Unidad</t>
        </is>
      </c>
      <c r="F134" t="inlineStr">
        <is>
          <t>Generico</t>
        </is>
      </c>
      <c r="G134" t="inlineStr">
        <is>
          <t>-</t>
        </is>
      </c>
      <c r="H134" t="inlineStr">
        <is>
          <t>-</t>
        </is>
      </c>
      <c r="I134" t="inlineStr">
        <is>
          <t>NO APLICA</t>
        </is>
      </c>
      <c r="J134" t="n">
        <v>5</v>
      </c>
      <c r="K134" t="inlineStr">
        <is>
          <t>Activo</t>
        </is>
      </c>
      <c r="L134" t="inlineStr">
        <is>
          <t>Cargue inicial oficial desde INVENTARIO.xlsx</t>
        </is>
      </c>
      <c r="M134" s="59" t="n">
        <v>46264</v>
      </c>
    </row>
    <row r="135">
      <c r="A135" t="n">
        <v>5801</v>
      </c>
      <c r="B135" t="inlineStr">
        <is>
          <t>CHAZO MARIPOSA METALICO 1/4"</t>
        </is>
      </c>
      <c r="C135" t="inlineStr">
        <is>
          <t>Tornilleria</t>
        </is>
      </c>
      <c r="D135" t="inlineStr">
        <is>
          <t>General</t>
        </is>
      </c>
      <c r="E135" t="inlineStr">
        <is>
          <t>Unidad</t>
        </is>
      </c>
      <c r="F135" t="inlineStr">
        <is>
          <t>Generico</t>
        </is>
      </c>
      <c r="G135" t="inlineStr">
        <is>
          <t>-</t>
        </is>
      </c>
      <c r="H135" t="inlineStr">
        <is>
          <t>-</t>
        </is>
      </c>
      <c r="I135" t="inlineStr">
        <is>
          <t>NO APLICA</t>
        </is>
      </c>
      <c r="J135" t="n">
        <v>5</v>
      </c>
      <c r="K135" t="inlineStr">
        <is>
          <t>Activo</t>
        </is>
      </c>
      <c r="L135" t="inlineStr">
        <is>
          <t>Cargue inicial oficial desde INVENTARIO.xlsx</t>
        </is>
      </c>
      <c r="M135" s="59" t="n">
        <v>46264</v>
      </c>
    </row>
    <row r="136">
      <c r="A136" t="n">
        <v>5802</v>
      </c>
      <c r="B136" t="inlineStr">
        <is>
          <t>CHAZO MARIPOSA METALICO 3/16"</t>
        </is>
      </c>
      <c r="C136" t="inlineStr">
        <is>
          <t>Tornilleria</t>
        </is>
      </c>
      <c r="D136" t="inlineStr">
        <is>
          <t>General</t>
        </is>
      </c>
      <c r="E136" t="inlineStr">
        <is>
          <t>Unidad</t>
        </is>
      </c>
      <c r="F136" t="inlineStr">
        <is>
          <t>Generico</t>
        </is>
      </c>
      <c r="G136" t="inlineStr">
        <is>
          <t>-</t>
        </is>
      </c>
      <c r="H136" t="inlineStr">
        <is>
          <t>-</t>
        </is>
      </c>
      <c r="I136" t="inlineStr">
        <is>
          <t>NO APLICA</t>
        </is>
      </c>
      <c r="J136" t="n">
        <v>5</v>
      </c>
      <c r="K136" t="inlineStr">
        <is>
          <t>Activo</t>
        </is>
      </c>
      <c r="L136" t="inlineStr">
        <is>
          <t>Cargue inicial oficial desde INVENTARIO.xlsx</t>
        </is>
      </c>
      <c r="M136" s="59" t="n">
        <v>46264</v>
      </c>
    </row>
    <row r="137">
      <c r="A137" t="n">
        <v>5803</v>
      </c>
      <c r="B137" t="inlineStr">
        <is>
          <t>CHAZO MARIPOSA METALICO 3/8"</t>
        </is>
      </c>
      <c r="C137" t="inlineStr">
        <is>
          <t>Tornilleria</t>
        </is>
      </c>
      <c r="D137" t="inlineStr">
        <is>
          <t>General</t>
        </is>
      </c>
      <c r="E137" t="inlineStr">
        <is>
          <t>Unidad</t>
        </is>
      </c>
      <c r="F137" t="inlineStr">
        <is>
          <t>Generico</t>
        </is>
      </c>
      <c r="G137" t="inlineStr">
        <is>
          <t>-</t>
        </is>
      </c>
      <c r="H137" t="inlineStr">
        <is>
          <t>-</t>
        </is>
      </c>
      <c r="I137" t="inlineStr">
        <is>
          <t>NO APLICA</t>
        </is>
      </c>
      <c r="J137" t="n">
        <v>5</v>
      </c>
      <c r="K137" t="inlineStr">
        <is>
          <t>Activo</t>
        </is>
      </c>
      <c r="L137" t="inlineStr">
        <is>
          <t>Cargue inicial oficial desde INVENTARIO.xlsx</t>
        </is>
      </c>
      <c r="M137" s="59" t="n">
        <v>46264</v>
      </c>
    </row>
    <row r="138">
      <c r="A138" t="n">
        <v>5804</v>
      </c>
      <c r="B138" t="inlineStr">
        <is>
          <t>CHAZO MARIPOSA PLASTICO BEIGE 1/4"</t>
        </is>
      </c>
      <c r="C138" t="inlineStr">
        <is>
          <t>Tornilleria</t>
        </is>
      </c>
      <c r="D138" t="inlineStr">
        <is>
          <t>General</t>
        </is>
      </c>
      <c r="E138" t="inlineStr">
        <is>
          <t>Unidad</t>
        </is>
      </c>
      <c r="F138" t="inlineStr">
        <is>
          <t>Generico</t>
        </is>
      </c>
      <c r="G138" t="inlineStr">
        <is>
          <t>-</t>
        </is>
      </c>
      <c r="H138" t="inlineStr">
        <is>
          <t>T3</t>
        </is>
      </c>
      <c r="I138" t="inlineStr">
        <is>
          <t>NO APLICA</t>
        </is>
      </c>
      <c r="J138" t="n">
        <v>5</v>
      </c>
      <c r="K138" t="inlineStr">
        <is>
          <t>Activo</t>
        </is>
      </c>
      <c r="L138" t="inlineStr">
        <is>
          <t>Cargue inicial oficial desde INVENTARIO.xlsx</t>
        </is>
      </c>
      <c r="M138" s="59" t="n">
        <v>46264</v>
      </c>
    </row>
    <row r="139">
      <c r="A139" t="n">
        <v>5805</v>
      </c>
      <c r="B139" t="inlineStr">
        <is>
          <t>COPA SIERRA 1 1/2"</t>
        </is>
      </c>
      <c r="C139" t="inlineStr">
        <is>
          <t>Materiales</t>
        </is>
      </c>
      <c r="D139" t="inlineStr">
        <is>
          <t>General</t>
        </is>
      </c>
      <c r="E139" t="inlineStr">
        <is>
          <t>Unidad</t>
        </is>
      </c>
      <c r="F139" t="inlineStr">
        <is>
          <t>Generico</t>
        </is>
      </c>
      <c r="G139" t="inlineStr">
        <is>
          <t>-</t>
        </is>
      </c>
      <c r="H139" t="inlineStr">
        <is>
          <t>-</t>
        </is>
      </c>
      <c r="I139" t="inlineStr">
        <is>
          <t>NO APLICA</t>
        </is>
      </c>
      <c r="J139" t="n">
        <v>5</v>
      </c>
      <c r="K139" t="inlineStr">
        <is>
          <t>Activo</t>
        </is>
      </c>
      <c r="L139" t="inlineStr">
        <is>
          <t>Cargue inicial oficial desde INVENTARIO.xlsx</t>
        </is>
      </c>
      <c r="M139" s="59" t="n">
        <v>46264</v>
      </c>
    </row>
    <row r="140">
      <c r="A140" t="n">
        <v>5806</v>
      </c>
      <c r="B140" t="inlineStr">
        <is>
          <t>COPA SIERRA 1 1/4"</t>
        </is>
      </c>
      <c r="C140" t="inlineStr">
        <is>
          <t>Materiales</t>
        </is>
      </c>
      <c r="D140" t="inlineStr">
        <is>
          <t>General</t>
        </is>
      </c>
      <c r="E140" t="inlineStr">
        <is>
          <t>Unidad</t>
        </is>
      </c>
      <c r="F140" t="inlineStr">
        <is>
          <t>Generico</t>
        </is>
      </c>
      <c r="G140" t="inlineStr">
        <is>
          <t>-</t>
        </is>
      </c>
      <c r="H140" t="inlineStr">
        <is>
          <t>-</t>
        </is>
      </c>
      <c r="I140" t="inlineStr">
        <is>
          <t>NO APLICA</t>
        </is>
      </c>
      <c r="J140" t="n">
        <v>5</v>
      </c>
      <c r="K140" t="inlineStr">
        <is>
          <t>Activo</t>
        </is>
      </c>
      <c r="L140" t="inlineStr">
        <is>
          <t>Cargue inicial oficial desde INVENTARIO.xlsx</t>
        </is>
      </c>
      <c r="M140" s="59" t="n">
        <v>46264</v>
      </c>
    </row>
    <row r="141">
      <c r="A141" t="n">
        <v>5807</v>
      </c>
      <c r="B141" t="inlineStr">
        <is>
          <t>COPA SIERRA 1"</t>
        </is>
      </c>
      <c r="C141" t="inlineStr">
        <is>
          <t>Materiales</t>
        </is>
      </c>
      <c r="D141" t="inlineStr">
        <is>
          <t>General</t>
        </is>
      </c>
      <c r="E141" t="inlineStr">
        <is>
          <t>Unidad</t>
        </is>
      </c>
      <c r="F141" t="inlineStr">
        <is>
          <t>Generico</t>
        </is>
      </c>
      <c r="G141" t="inlineStr">
        <is>
          <t>-</t>
        </is>
      </c>
      <c r="H141" t="inlineStr">
        <is>
          <t>-</t>
        </is>
      </c>
      <c r="I141" t="inlineStr">
        <is>
          <t>NO APLICA</t>
        </is>
      </c>
      <c r="J141" t="n">
        <v>5</v>
      </c>
      <c r="K141" t="inlineStr">
        <is>
          <t>Activo</t>
        </is>
      </c>
      <c r="L141" t="inlineStr">
        <is>
          <t>Cargue inicial oficial desde INVENTARIO.xlsx</t>
        </is>
      </c>
      <c r="M141" s="59" t="n">
        <v>46264</v>
      </c>
    </row>
    <row r="142">
      <c r="A142" t="n">
        <v>5809</v>
      </c>
      <c r="B142" t="inlineStr">
        <is>
          <t>COPA SIERRA 3/4"</t>
        </is>
      </c>
      <c r="C142" t="inlineStr">
        <is>
          <t>Materiales</t>
        </is>
      </c>
      <c r="D142" t="inlineStr">
        <is>
          <t>General</t>
        </is>
      </c>
      <c r="E142" t="inlineStr">
        <is>
          <t>Unidad</t>
        </is>
      </c>
      <c r="F142" t="inlineStr">
        <is>
          <t>Generico</t>
        </is>
      </c>
      <c r="G142" t="inlineStr">
        <is>
          <t>-</t>
        </is>
      </c>
      <c r="H142" t="inlineStr">
        <is>
          <t>-</t>
        </is>
      </c>
      <c r="I142" t="inlineStr">
        <is>
          <t>NO APLICA</t>
        </is>
      </c>
      <c r="J142" t="n">
        <v>5</v>
      </c>
      <c r="K142" t="inlineStr">
        <is>
          <t>Activo</t>
        </is>
      </c>
      <c r="L142" t="inlineStr">
        <is>
          <t>Cargue inicial oficial desde INVENTARIO.xlsx</t>
        </is>
      </c>
      <c r="M142" s="59" t="n">
        <v>46264</v>
      </c>
    </row>
    <row r="143">
      <c r="A143" t="n">
        <v>5813</v>
      </c>
      <c r="B143" t="inlineStr">
        <is>
          <t>PUNTA HEXAGONAL 6MM</t>
        </is>
      </c>
      <c r="C143" t="inlineStr">
        <is>
          <t>Materiales</t>
        </is>
      </c>
      <c r="D143" t="inlineStr">
        <is>
          <t>General</t>
        </is>
      </c>
      <c r="E143" t="inlineStr">
        <is>
          <t>Unidad</t>
        </is>
      </c>
      <c r="F143" t="inlineStr">
        <is>
          <t>Generico</t>
        </is>
      </c>
      <c r="G143" t="inlineStr">
        <is>
          <t>-</t>
        </is>
      </c>
      <c r="H143" t="inlineStr">
        <is>
          <t>-</t>
        </is>
      </c>
      <c r="I143" t="inlineStr">
        <is>
          <t>NO APLICA</t>
        </is>
      </c>
      <c r="J143" t="n">
        <v>5</v>
      </c>
      <c r="K143" t="inlineStr">
        <is>
          <t>Activo</t>
        </is>
      </c>
      <c r="L143" t="inlineStr">
        <is>
          <t>Cargue inicial oficial desde INVENTARIO.xlsx</t>
        </is>
      </c>
      <c r="M143" s="59" t="n">
        <v>46264</v>
      </c>
    </row>
    <row r="144">
      <c r="A144" t="n">
        <v>5825</v>
      </c>
      <c r="B144" t="inlineStr">
        <is>
          <t>TORNILLO AUTOPERFORANTE HEXAGONAL PUNTA BROCA 12-14 X 3/4"</t>
        </is>
      </c>
      <c r="C144" t="inlineStr">
        <is>
          <t>Tornilleria</t>
        </is>
      </c>
      <c r="D144" t="inlineStr">
        <is>
          <t>General</t>
        </is>
      </c>
      <c r="E144" t="inlineStr">
        <is>
          <t>Unidad</t>
        </is>
      </c>
      <c r="F144" t="inlineStr">
        <is>
          <t>Generico</t>
        </is>
      </c>
      <c r="G144" t="inlineStr">
        <is>
          <t>-</t>
        </is>
      </c>
      <c r="H144" t="inlineStr">
        <is>
          <t>-</t>
        </is>
      </c>
      <c r="I144" t="inlineStr">
        <is>
          <t>NO APLICA</t>
        </is>
      </c>
      <c r="J144" t="n">
        <v>5</v>
      </c>
      <c r="K144" t="inlineStr">
        <is>
          <t>Activo</t>
        </is>
      </c>
      <c r="L144" t="inlineStr">
        <is>
          <t>Cargue inicial oficial desde INVENTARIO.xlsx</t>
        </is>
      </c>
      <c r="M144" s="59" t="n">
        <v>46264</v>
      </c>
    </row>
    <row r="145">
      <c r="A145" t="n">
        <v>5826</v>
      </c>
      <c r="B145" t="inlineStr">
        <is>
          <t>TORNILLO AUTOPERFORANTE HEXAGONAL PUNTA BROCA ROSCA COMPLETA 2"</t>
        </is>
      </c>
      <c r="C145" t="inlineStr">
        <is>
          <t>Tornilleria</t>
        </is>
      </c>
      <c r="D145" t="inlineStr">
        <is>
          <t>General</t>
        </is>
      </c>
      <c r="E145" t="inlineStr">
        <is>
          <t>Unidad</t>
        </is>
      </c>
      <c r="F145" t="inlineStr">
        <is>
          <t>Generico</t>
        </is>
      </c>
      <c r="G145" t="inlineStr">
        <is>
          <t>-</t>
        </is>
      </c>
      <c r="H145" t="inlineStr">
        <is>
          <t>-</t>
        </is>
      </c>
      <c r="I145" t="inlineStr">
        <is>
          <t>NO APLICA</t>
        </is>
      </c>
      <c r="J145" t="n">
        <v>5</v>
      </c>
      <c r="K145" t="inlineStr">
        <is>
          <t>Activo</t>
        </is>
      </c>
      <c r="L145" t="inlineStr">
        <is>
          <t>Cargue inicial oficial desde INVENTARIO.xlsx</t>
        </is>
      </c>
      <c r="M145" s="59" t="n">
        <v>46264</v>
      </c>
    </row>
    <row r="146">
      <c r="A146" t="n">
        <v>5828</v>
      </c>
      <c r="B146" t="inlineStr">
        <is>
          <t>TORNILLO AUTOPERFORANTE HEXAGONAL PUNTA BROCA ROSCA COMPLETA 4"</t>
        </is>
      </c>
      <c r="C146" t="inlineStr">
        <is>
          <t>Tornilleria</t>
        </is>
      </c>
      <c r="D146" t="inlineStr">
        <is>
          <t>General</t>
        </is>
      </c>
      <c r="E146" t="inlineStr">
        <is>
          <t>Unidad</t>
        </is>
      </c>
      <c r="F146" t="inlineStr">
        <is>
          <t>Generico</t>
        </is>
      </c>
      <c r="G146" t="inlineStr">
        <is>
          <t>-</t>
        </is>
      </c>
      <c r="H146" t="inlineStr">
        <is>
          <t>-</t>
        </is>
      </c>
      <c r="I146" t="inlineStr">
        <is>
          <t>NO APLICA</t>
        </is>
      </c>
      <c r="J146" t="n">
        <v>5</v>
      </c>
      <c r="K146" t="inlineStr">
        <is>
          <t>Activo</t>
        </is>
      </c>
      <c r="L146" t="inlineStr">
        <is>
          <t>Cargue inicial oficial desde INVENTARIO.xlsx</t>
        </is>
      </c>
      <c r="M146" s="59" t="n">
        <v>46264</v>
      </c>
    </row>
    <row r="147">
      <c r="A147" t="n">
        <v>5833</v>
      </c>
      <c r="B147" t="inlineStr">
        <is>
          <t>TORNILLO HEXAGONAL PUNTA AGUDA 9-15 X 1 1/2"</t>
        </is>
      </c>
      <c r="C147" t="inlineStr">
        <is>
          <t>Tornilleria</t>
        </is>
      </c>
      <c r="D147" t="inlineStr">
        <is>
          <t>General</t>
        </is>
      </c>
      <c r="E147" t="inlineStr">
        <is>
          <t>Unidad</t>
        </is>
      </c>
      <c r="F147" t="inlineStr">
        <is>
          <t>Generico</t>
        </is>
      </c>
      <c r="G147" t="inlineStr">
        <is>
          <t>-</t>
        </is>
      </c>
      <c r="H147" t="inlineStr">
        <is>
          <t>-</t>
        </is>
      </c>
      <c r="I147" t="inlineStr">
        <is>
          <t>NO APLICA</t>
        </is>
      </c>
      <c r="J147" t="n">
        <v>5</v>
      </c>
      <c r="K147" t="inlineStr">
        <is>
          <t>Activo</t>
        </is>
      </c>
      <c r="L147" t="inlineStr">
        <is>
          <t>Cargue inicial oficial desde INVENTARIO.xlsx</t>
        </is>
      </c>
      <c r="M147" s="59" t="n">
        <v>46264</v>
      </c>
    </row>
    <row r="148">
      <c r="A148" t="n">
        <v>5834</v>
      </c>
      <c r="B148" t="inlineStr">
        <is>
          <t>TORNILLO HEXAGONAL PUNTA AGUDA 9-15 X 1"</t>
        </is>
      </c>
      <c r="C148" t="inlineStr">
        <is>
          <t>Tornilleria</t>
        </is>
      </c>
      <c r="D148" t="inlineStr">
        <is>
          <t>General</t>
        </is>
      </c>
      <c r="E148" t="inlineStr">
        <is>
          <t>Unidad</t>
        </is>
      </c>
      <c r="F148" t="inlineStr">
        <is>
          <t>Generico</t>
        </is>
      </c>
      <c r="G148" t="inlineStr">
        <is>
          <t>-</t>
        </is>
      </c>
      <c r="H148" t="inlineStr">
        <is>
          <t>-</t>
        </is>
      </c>
      <c r="I148" t="inlineStr">
        <is>
          <t>NO APLICA</t>
        </is>
      </c>
      <c r="J148" t="n">
        <v>5</v>
      </c>
      <c r="K148" t="inlineStr">
        <is>
          <t>Activo</t>
        </is>
      </c>
      <c r="L148" t="inlineStr">
        <is>
          <t>Cargue inicial oficial desde INVENTARIO.xlsx</t>
        </is>
      </c>
      <c r="M148" s="59" t="n">
        <v>46264</v>
      </c>
    </row>
    <row r="149">
      <c r="A149" t="n">
        <v>5838</v>
      </c>
      <c r="B149" t="inlineStr">
        <is>
          <t>TORNILLO TROPICALIZADO GRADO 8 3/8" X 1 1/2"</t>
        </is>
      </c>
      <c r="C149" t="inlineStr">
        <is>
          <t>Tornilleria</t>
        </is>
      </c>
      <c r="D149" t="inlineStr">
        <is>
          <t>General</t>
        </is>
      </c>
      <c r="E149" t="inlineStr">
        <is>
          <t>Unidad</t>
        </is>
      </c>
      <c r="F149" t="inlineStr">
        <is>
          <t>Generico</t>
        </is>
      </c>
      <c r="G149" t="inlineStr">
        <is>
          <t>-</t>
        </is>
      </c>
      <c r="H149" t="inlineStr">
        <is>
          <t>-</t>
        </is>
      </c>
      <c r="I149" t="inlineStr">
        <is>
          <t>NO APLICA</t>
        </is>
      </c>
      <c r="J149" t="n">
        <v>5</v>
      </c>
      <c r="K149" t="inlineStr">
        <is>
          <t>Activo</t>
        </is>
      </c>
      <c r="L149" t="inlineStr">
        <is>
          <t>Cargue inicial oficial desde INVENTARIO.xlsx</t>
        </is>
      </c>
      <c r="M149" s="59" t="n">
        <v>46264</v>
      </c>
    </row>
    <row r="150">
      <c r="A150" t="n">
        <v>5846</v>
      </c>
      <c r="B150" t="inlineStr">
        <is>
          <t>TUERCA GALVANIZADA EN CALIENTE 3/8"</t>
        </is>
      </c>
      <c r="C150" t="inlineStr">
        <is>
          <t>Tornilleria</t>
        </is>
      </c>
      <c r="D150" t="inlineStr">
        <is>
          <t>General</t>
        </is>
      </c>
      <c r="E150" t="inlineStr">
        <is>
          <t>Unidad</t>
        </is>
      </c>
      <c r="F150" t="inlineStr">
        <is>
          <t>Generico</t>
        </is>
      </c>
      <c r="G150" t="inlineStr">
        <is>
          <t>-</t>
        </is>
      </c>
      <c r="H150" t="inlineStr">
        <is>
          <t>-</t>
        </is>
      </c>
      <c r="I150" t="inlineStr">
        <is>
          <t>NO APLICA</t>
        </is>
      </c>
      <c r="J150" t="n">
        <v>5</v>
      </c>
      <c r="K150" t="inlineStr">
        <is>
          <t>Activo</t>
        </is>
      </c>
      <c r="L150" t="inlineStr">
        <is>
          <t>Cargue inicial oficial desde INVENTARIO.xlsx</t>
        </is>
      </c>
      <c r="M150" s="59" t="n">
        <v>46264</v>
      </c>
    </row>
    <row r="151">
      <c r="A151" t="n">
        <v>5849</v>
      </c>
      <c r="B151" t="inlineStr">
        <is>
          <t>TUERCA MORDAZA 3/8"</t>
        </is>
      </c>
      <c r="C151" t="inlineStr">
        <is>
          <t>Tornilleria</t>
        </is>
      </c>
      <c r="D151" t="inlineStr">
        <is>
          <t>General</t>
        </is>
      </c>
      <c r="E151" t="inlineStr">
        <is>
          <t>Unidad</t>
        </is>
      </c>
      <c r="F151" t="inlineStr">
        <is>
          <t>Generico</t>
        </is>
      </c>
      <c r="G151" t="inlineStr">
        <is>
          <t>-</t>
        </is>
      </c>
      <c r="H151" t="inlineStr">
        <is>
          <t>B4</t>
        </is>
      </c>
      <c r="I151" t="inlineStr">
        <is>
          <t>NO APLICA</t>
        </is>
      </c>
      <c r="J151" t="n">
        <v>5</v>
      </c>
      <c r="K151" t="inlineStr">
        <is>
          <t>Activo</t>
        </is>
      </c>
      <c r="L151" t="inlineStr">
        <is>
          <t>Cargue inicial oficial desde INVENTARIO.xlsx</t>
        </is>
      </c>
      <c r="M151" s="59" t="n">
        <v>46264</v>
      </c>
    </row>
    <row r="152">
      <c r="A152" t="n">
        <v>5850</v>
      </c>
      <c r="B152" t="inlineStr">
        <is>
          <t>TUERCA TROPICALIZADA 3/8”</t>
        </is>
      </c>
      <c r="C152" t="inlineStr">
        <is>
          <t>Tornilleria</t>
        </is>
      </c>
      <c r="D152" t="inlineStr">
        <is>
          <t>General</t>
        </is>
      </c>
      <c r="E152" t="inlineStr">
        <is>
          <t>Unidad</t>
        </is>
      </c>
      <c r="F152" t="inlineStr">
        <is>
          <t>Generico</t>
        </is>
      </c>
      <c r="G152" t="inlineStr">
        <is>
          <t>-</t>
        </is>
      </c>
      <c r="H152" t="inlineStr">
        <is>
          <t>-</t>
        </is>
      </c>
      <c r="I152" t="inlineStr">
        <is>
          <t>NO APLICA</t>
        </is>
      </c>
      <c r="J152" t="n">
        <v>5</v>
      </c>
      <c r="K152" t="inlineStr">
        <is>
          <t>Activo</t>
        </is>
      </c>
      <c r="L152" t="inlineStr">
        <is>
          <t>Cargue inicial oficial desde INVENTARIO.xlsx</t>
        </is>
      </c>
      <c r="M152" s="59" t="n">
        <v>46264</v>
      </c>
    </row>
    <row r="153">
      <c r="A153" t="n">
        <v>5851</v>
      </c>
      <c r="B153" t="inlineStr">
        <is>
          <t>TUERCA TROPICALIZADA 5/16”</t>
        </is>
      </c>
      <c r="C153" t="inlineStr">
        <is>
          <t>Tornilleria</t>
        </is>
      </c>
      <c r="D153" t="inlineStr">
        <is>
          <t>General</t>
        </is>
      </c>
      <c r="E153" t="inlineStr">
        <is>
          <t>Unidad</t>
        </is>
      </c>
      <c r="F153" t="inlineStr">
        <is>
          <t>Generico</t>
        </is>
      </c>
      <c r="G153" t="inlineStr">
        <is>
          <t>-</t>
        </is>
      </c>
      <c r="H153" t="inlineStr">
        <is>
          <t>-</t>
        </is>
      </c>
      <c r="I153" t="inlineStr">
        <is>
          <t>NO APLICA</t>
        </is>
      </c>
      <c r="J153" t="n">
        <v>5</v>
      </c>
      <c r="K153" t="inlineStr">
        <is>
          <t>Activo</t>
        </is>
      </c>
      <c r="L153" t="inlineStr">
        <is>
          <t>Cargue inicial oficial desde INVENTARIO.xlsx</t>
        </is>
      </c>
      <c r="M153" s="59" t="n">
        <v>46264</v>
      </c>
    </row>
    <row r="154">
      <c r="A154" t="n">
        <v>5910</v>
      </c>
      <c r="B154" t="inlineStr">
        <is>
          <t>MEDIDOR MONOFASICO MEDIDA DIRECTA BIFILAR EMSI C2000</t>
        </is>
      </c>
      <c r="C154" t="inlineStr">
        <is>
          <t>Materiales</t>
        </is>
      </c>
      <c r="D154" t="inlineStr">
        <is>
          <t>General</t>
        </is>
      </c>
      <c r="E154" t="inlineStr">
        <is>
          <t>Unidad</t>
        </is>
      </c>
      <c r="F154" t="inlineStr">
        <is>
          <t>Generico</t>
        </is>
      </c>
      <c r="G154" t="inlineStr">
        <is>
          <t>-</t>
        </is>
      </c>
      <c r="H154" t="inlineStr">
        <is>
          <t>-</t>
        </is>
      </c>
      <c r="I154" t="inlineStr">
        <is>
          <t>NO APLICA</t>
        </is>
      </c>
      <c r="J154" t="n">
        <v>5</v>
      </c>
      <c r="K154" t="inlineStr">
        <is>
          <t>Activo</t>
        </is>
      </c>
      <c r="L154" t="inlineStr">
        <is>
          <t>Cargue inicial oficial desde INVENTARIO.xlsx</t>
        </is>
      </c>
      <c r="M154" s="59" t="n">
        <v>46264</v>
      </c>
    </row>
    <row r="155">
      <c r="A155" t="n">
        <v>5912</v>
      </c>
      <c r="B155" t="inlineStr">
        <is>
          <t>MEDIDOR TRIFASICO MEDIDA DIRECTA BIDIRECCION ELSTER</t>
        </is>
      </c>
      <c r="C155" t="inlineStr">
        <is>
          <t>Materiales</t>
        </is>
      </c>
      <c r="D155" t="inlineStr">
        <is>
          <t>General</t>
        </is>
      </c>
      <c r="E155" t="inlineStr">
        <is>
          <t>Unidad</t>
        </is>
      </c>
      <c r="F155" t="inlineStr">
        <is>
          <t>Generico</t>
        </is>
      </c>
      <c r="G155" t="inlineStr">
        <is>
          <t>-</t>
        </is>
      </c>
      <c r="H155" t="inlineStr">
        <is>
          <t>-</t>
        </is>
      </c>
      <c r="I155" t="inlineStr">
        <is>
          <t>NO APLICA</t>
        </is>
      </c>
      <c r="J155" t="n">
        <v>5</v>
      </c>
      <c r="K155" t="inlineStr">
        <is>
          <t>Activo</t>
        </is>
      </c>
      <c r="L155" t="inlineStr">
        <is>
          <t>Cargue inicial oficial desde INVENTARIO.xlsx</t>
        </is>
      </c>
      <c r="M155" s="59" t="n">
        <v>46264</v>
      </c>
    </row>
    <row r="156">
      <c r="A156" t="n">
        <v>5928</v>
      </c>
      <c r="B156" t="inlineStr">
        <is>
          <t>MODEM RS485 EMSI</t>
        </is>
      </c>
      <c r="C156" t="inlineStr">
        <is>
          <t>Materiales</t>
        </is>
      </c>
      <c r="D156" t="inlineStr">
        <is>
          <t>General</t>
        </is>
      </c>
      <c r="E156" t="inlineStr">
        <is>
          <t>Unidad</t>
        </is>
      </c>
      <c r="F156" t="inlineStr">
        <is>
          <t>Generico</t>
        </is>
      </c>
      <c r="G156" t="inlineStr">
        <is>
          <t>-</t>
        </is>
      </c>
      <c r="H156" t="inlineStr">
        <is>
          <t>-</t>
        </is>
      </c>
      <c r="I156" t="inlineStr">
        <is>
          <t>NO APLICA</t>
        </is>
      </c>
      <c r="J156" t="n">
        <v>5</v>
      </c>
      <c r="K156" t="inlineStr">
        <is>
          <t>Activo</t>
        </is>
      </c>
      <c r="L156" t="inlineStr">
        <is>
          <t>Cargue inicial oficial desde INVENTARIO.xlsx</t>
        </is>
      </c>
      <c r="M156" s="59" t="n">
        <v>46264</v>
      </c>
    </row>
    <row r="157">
      <c r="A157" t="n">
        <v>6156</v>
      </c>
      <c r="B157" t="inlineStr">
        <is>
          <t>ARANDELA TORNILLO M8</t>
        </is>
      </c>
      <c r="C157" t="inlineStr">
        <is>
          <t>Tornilleria</t>
        </is>
      </c>
      <c r="D157" t="inlineStr">
        <is>
          <t>General</t>
        </is>
      </c>
      <c r="E157" t="inlineStr">
        <is>
          <t>Unidad</t>
        </is>
      </c>
      <c r="F157" t="inlineStr">
        <is>
          <t>Generico</t>
        </is>
      </c>
      <c r="G157" t="inlineStr">
        <is>
          <t>-</t>
        </is>
      </c>
      <c r="H157" t="inlineStr">
        <is>
          <t>-</t>
        </is>
      </c>
      <c r="I157" t="inlineStr">
        <is>
          <t>NO APLICA</t>
        </is>
      </c>
      <c r="J157" t="n">
        <v>5</v>
      </c>
      <c r="K157" t="inlineStr">
        <is>
          <t>Activo</t>
        </is>
      </c>
      <c r="L157" t="inlineStr">
        <is>
          <t>Cargue inicial oficial desde INVENTARIO.xlsx</t>
        </is>
      </c>
      <c r="M157" s="59" t="n">
        <v>46264</v>
      </c>
    </row>
    <row r="158">
      <c r="A158" t="n">
        <v>6163</v>
      </c>
      <c r="B158" t="inlineStr">
        <is>
          <t>DISCO ALUMINIO 3MM ESPESOR 150MM</t>
        </is>
      </c>
      <c r="C158" t="inlineStr">
        <is>
          <t>Consumibles</t>
        </is>
      </c>
      <c r="D158" t="inlineStr">
        <is>
          <t>General</t>
        </is>
      </c>
      <c r="E158" t="inlineStr">
        <is>
          <t>Unidad</t>
        </is>
      </c>
      <c r="F158" t="inlineStr">
        <is>
          <t>Generico</t>
        </is>
      </c>
      <c r="G158" t="inlineStr">
        <is>
          <t>-</t>
        </is>
      </c>
      <c r="H158" t="inlineStr">
        <is>
          <t>-</t>
        </is>
      </c>
      <c r="I158" t="inlineStr">
        <is>
          <t>NO APLICA</t>
        </is>
      </c>
      <c r="J158" t="n">
        <v>5</v>
      </c>
      <c r="K158" t="inlineStr">
        <is>
          <t>Activo</t>
        </is>
      </c>
      <c r="L158" t="inlineStr">
        <is>
          <t>Cargue inicial oficial desde INVENTARIO.xlsx</t>
        </is>
      </c>
      <c r="M158" s="59" t="n">
        <v>46264</v>
      </c>
    </row>
    <row r="159">
      <c r="A159" t="n">
        <v>6164</v>
      </c>
      <c r="B159" t="inlineStr">
        <is>
          <t>ECLAMP 30 MM</t>
        </is>
      </c>
      <c r="C159" t="inlineStr">
        <is>
          <t>Materiales</t>
        </is>
      </c>
      <c r="D159" t="inlineStr">
        <is>
          <t>General</t>
        </is>
      </c>
      <c r="E159" t="inlineStr">
        <is>
          <t>Unidad</t>
        </is>
      </c>
      <c r="F159" t="inlineStr">
        <is>
          <t>Generico</t>
        </is>
      </c>
      <c r="G159" t="inlineStr">
        <is>
          <t>-</t>
        </is>
      </c>
      <c r="H159" t="inlineStr">
        <is>
          <t>B4</t>
        </is>
      </c>
      <c r="I159" t="inlineStr">
        <is>
          <t>NO APLICA</t>
        </is>
      </c>
      <c r="J159" t="n">
        <v>5</v>
      </c>
      <c r="K159" t="inlineStr">
        <is>
          <t>Activo</t>
        </is>
      </c>
      <c r="L159" t="inlineStr">
        <is>
          <t>Cargue inicial oficial desde INVENTARIO.xlsx</t>
        </is>
      </c>
      <c r="M159" s="59" t="n">
        <v>46264</v>
      </c>
    </row>
    <row r="160">
      <c r="A160" t="n">
        <v>6165</v>
      </c>
      <c r="B160" t="inlineStr">
        <is>
          <t>ECLAMP 35 MM</t>
        </is>
      </c>
      <c r="C160" t="inlineStr">
        <is>
          <t>Materiales</t>
        </is>
      </c>
      <c r="D160" t="inlineStr">
        <is>
          <t>General</t>
        </is>
      </c>
      <c r="E160" t="inlineStr">
        <is>
          <t>Unidad</t>
        </is>
      </c>
      <c r="F160" t="inlineStr">
        <is>
          <t>Generico</t>
        </is>
      </c>
      <c r="G160" t="inlineStr">
        <is>
          <t>-</t>
        </is>
      </c>
      <c r="H160" t="inlineStr">
        <is>
          <t>B4</t>
        </is>
      </c>
      <c r="I160" t="inlineStr">
        <is>
          <t>NO APLICA</t>
        </is>
      </c>
      <c r="J160" t="n">
        <v>5</v>
      </c>
      <c r="K160" t="inlineStr">
        <is>
          <t>Activo</t>
        </is>
      </c>
      <c r="L160" t="inlineStr">
        <is>
          <t>Cargue inicial oficial desde INVENTARIO.xlsx</t>
        </is>
      </c>
      <c r="M160" s="59" t="n">
        <v>46264</v>
      </c>
    </row>
    <row r="161">
      <c r="A161" t="n">
        <v>6166</v>
      </c>
      <c r="B161" t="inlineStr">
        <is>
          <t>ECLAMP 40 MM</t>
        </is>
      </c>
      <c r="C161" t="inlineStr">
        <is>
          <t>Materiales</t>
        </is>
      </c>
      <c r="D161" t="inlineStr">
        <is>
          <t>General</t>
        </is>
      </c>
      <c r="E161" t="inlineStr">
        <is>
          <t>Unidad</t>
        </is>
      </c>
      <c r="F161" t="inlineStr">
        <is>
          <t>Generico</t>
        </is>
      </c>
      <c r="G161" t="inlineStr">
        <is>
          <t>-</t>
        </is>
      </c>
      <c r="H161" t="inlineStr">
        <is>
          <t>B4</t>
        </is>
      </c>
      <c r="I161" t="inlineStr">
        <is>
          <t>NO APLICA</t>
        </is>
      </c>
      <c r="J161" t="n">
        <v>5</v>
      </c>
      <c r="K161" t="inlineStr">
        <is>
          <t>Activo</t>
        </is>
      </c>
      <c r="L161" t="inlineStr">
        <is>
          <t>Cargue inicial oficial desde INVENTARIO.xlsx</t>
        </is>
      </c>
      <c r="M161" s="59" t="n">
        <v>46264</v>
      </c>
    </row>
    <row r="162">
      <c r="A162" t="n">
        <v>6167</v>
      </c>
      <c r="B162" t="inlineStr">
        <is>
          <t>GCLAMP 3 TORNILLOS</t>
        </is>
      </c>
      <c r="C162" t="inlineStr">
        <is>
          <t>Tornilleria</t>
        </is>
      </c>
      <c r="D162" t="inlineStr">
        <is>
          <t>General</t>
        </is>
      </c>
      <c r="E162" t="inlineStr">
        <is>
          <t>Unidad</t>
        </is>
      </c>
      <c r="F162" t="inlineStr">
        <is>
          <t>Generico</t>
        </is>
      </c>
      <c r="G162" t="inlineStr">
        <is>
          <t>-</t>
        </is>
      </c>
      <c r="H162" t="inlineStr">
        <is>
          <t>B4</t>
        </is>
      </c>
      <c r="I162" t="inlineStr">
        <is>
          <t>NO APLICA</t>
        </is>
      </c>
      <c r="J162" t="n">
        <v>5</v>
      </c>
      <c r="K162" t="inlineStr">
        <is>
          <t>Activo</t>
        </is>
      </c>
      <c r="L162" t="inlineStr">
        <is>
          <t>Cargue inicial oficial desde INVENTARIO.xlsx</t>
        </is>
      </c>
      <c r="M162" s="59" t="n">
        <v>46264</v>
      </c>
    </row>
    <row r="163">
      <c r="A163" t="n">
        <v>6169</v>
      </c>
      <c r="B163" t="inlineStr">
        <is>
          <t>GCLAMP PESTAÑA ANCHA</t>
        </is>
      </c>
      <c r="C163" t="inlineStr">
        <is>
          <t>Materiales</t>
        </is>
      </c>
      <c r="D163" t="inlineStr">
        <is>
          <t>General</t>
        </is>
      </c>
      <c r="E163" t="inlineStr">
        <is>
          <t>Unidad</t>
        </is>
      </c>
      <c r="F163" t="inlineStr">
        <is>
          <t>Generico</t>
        </is>
      </c>
      <c r="G163" t="inlineStr">
        <is>
          <t>-</t>
        </is>
      </c>
      <c r="H163" t="inlineStr">
        <is>
          <t>B4</t>
        </is>
      </c>
      <c r="I163" t="inlineStr">
        <is>
          <t>NO APLICA</t>
        </is>
      </c>
      <c r="J163" t="n">
        <v>5</v>
      </c>
      <c r="K163" t="inlineStr">
        <is>
          <t>Activo</t>
        </is>
      </c>
      <c r="L163" t="inlineStr">
        <is>
          <t>Cargue inicial oficial desde INVENTARIO.xlsx</t>
        </is>
      </c>
      <c r="M163" s="59" t="n">
        <v>46264</v>
      </c>
    </row>
    <row r="164">
      <c r="A164" t="n">
        <v>6170</v>
      </c>
      <c r="B164" t="inlineStr">
        <is>
          <t>GROUND CLAMP</t>
        </is>
      </c>
      <c r="C164" t="inlineStr">
        <is>
          <t>Materiales</t>
        </is>
      </c>
      <c r="D164" t="inlineStr">
        <is>
          <t>General</t>
        </is>
      </c>
      <c r="E164" t="inlineStr">
        <is>
          <t>Unidad</t>
        </is>
      </c>
      <c r="F164" t="inlineStr">
        <is>
          <t>Generico</t>
        </is>
      </c>
      <c r="G164" t="inlineStr">
        <is>
          <t>-</t>
        </is>
      </c>
      <c r="H164" t="inlineStr">
        <is>
          <t>B5</t>
        </is>
      </c>
      <c r="I164" t="inlineStr">
        <is>
          <t>NO APLICA</t>
        </is>
      </c>
      <c r="J164" t="n">
        <v>5</v>
      </c>
      <c r="K164" t="inlineStr">
        <is>
          <t>Activo</t>
        </is>
      </c>
      <c r="L164" t="inlineStr">
        <is>
          <t>Cargue inicial oficial desde INVENTARIO.xlsx</t>
        </is>
      </c>
      <c r="M164" s="59" t="n">
        <v>46264</v>
      </c>
    </row>
    <row r="165">
      <c r="A165" t="n">
        <v>6171</v>
      </c>
      <c r="B165" t="inlineStr">
        <is>
          <t>L DOBLE TORNILLO</t>
        </is>
      </c>
      <c r="C165" t="inlineStr">
        <is>
          <t>Tornilleria</t>
        </is>
      </c>
      <c r="D165" t="inlineStr">
        <is>
          <t>General</t>
        </is>
      </c>
      <c r="E165" t="inlineStr">
        <is>
          <t>Unidad</t>
        </is>
      </c>
      <c r="F165" t="inlineStr">
        <is>
          <t>Generico</t>
        </is>
      </c>
      <c r="G165" t="inlineStr">
        <is>
          <t>-</t>
        </is>
      </c>
      <c r="H165" t="inlineStr">
        <is>
          <t>B5</t>
        </is>
      </c>
      <c r="I165" t="inlineStr">
        <is>
          <t>NO APLICA</t>
        </is>
      </c>
      <c r="J165" t="n">
        <v>5</v>
      </c>
      <c r="K165" t="inlineStr">
        <is>
          <t>Activo</t>
        </is>
      </c>
      <c r="L165" t="inlineStr">
        <is>
          <t>Cargue inicial oficial desde INVENTARIO.xlsx</t>
        </is>
      </c>
      <c r="M165" s="59" t="n">
        <v>46264</v>
      </c>
    </row>
    <row r="166">
      <c r="A166" t="n">
        <v>6172</v>
      </c>
      <c r="B166" t="inlineStr">
        <is>
          <t>L TORNILLO SENCILLO</t>
        </is>
      </c>
      <c r="C166" t="inlineStr">
        <is>
          <t>Tornilleria</t>
        </is>
      </c>
      <c r="D166" t="inlineStr">
        <is>
          <t>General</t>
        </is>
      </c>
      <c r="E166" t="inlineStr">
        <is>
          <t>Unidad</t>
        </is>
      </c>
      <c r="F166" t="inlineStr">
        <is>
          <t>Generico</t>
        </is>
      </c>
      <c r="G166" t="inlineStr">
        <is>
          <t>-</t>
        </is>
      </c>
      <c r="H166" t="inlineStr">
        <is>
          <t>-</t>
        </is>
      </c>
      <c r="I166" t="inlineStr">
        <is>
          <t>NO APLICA</t>
        </is>
      </c>
      <c r="J166" t="n">
        <v>5</v>
      </c>
      <c r="K166" t="inlineStr">
        <is>
          <t>Activo</t>
        </is>
      </c>
      <c r="L166" t="inlineStr">
        <is>
          <t>Cargue inicial oficial desde INVENTARIO.xlsx</t>
        </is>
      </c>
      <c r="M166" s="59" t="n">
        <v>46264</v>
      </c>
    </row>
    <row r="167">
      <c r="A167" t="n">
        <v>6173</v>
      </c>
      <c r="B167" t="inlineStr">
        <is>
          <t>MCLAMP 30 MM</t>
        </is>
      </c>
      <c r="C167" t="inlineStr">
        <is>
          <t>Materiales</t>
        </is>
      </c>
      <c r="D167" t="inlineStr">
        <is>
          <t>General</t>
        </is>
      </c>
      <c r="E167" t="inlineStr">
        <is>
          <t>Unidad</t>
        </is>
      </c>
      <c r="F167" t="inlineStr">
        <is>
          <t>Generico</t>
        </is>
      </c>
      <c r="G167" t="inlineStr">
        <is>
          <t>-</t>
        </is>
      </c>
      <c r="H167" t="inlineStr">
        <is>
          <t>B4</t>
        </is>
      </c>
      <c r="I167" t="inlineStr">
        <is>
          <t>NO APLICA</t>
        </is>
      </c>
      <c r="J167" t="n">
        <v>5</v>
      </c>
      <c r="K167" t="inlineStr">
        <is>
          <t>Activo</t>
        </is>
      </c>
      <c r="L167" t="inlineStr">
        <is>
          <t>Cargue inicial oficial desde INVENTARIO.xlsx</t>
        </is>
      </c>
      <c r="M167" s="59" t="n">
        <v>46264</v>
      </c>
    </row>
    <row r="168">
      <c r="A168" t="n">
        <v>6174</v>
      </c>
      <c r="B168" t="inlineStr">
        <is>
          <t>MCLAMP 35 MM</t>
        </is>
      </c>
      <c r="C168" t="inlineStr">
        <is>
          <t>Materiales</t>
        </is>
      </c>
      <c r="D168" t="inlineStr">
        <is>
          <t>General</t>
        </is>
      </c>
      <c r="E168" t="inlineStr">
        <is>
          <t>Unidad</t>
        </is>
      </c>
      <c r="F168" t="inlineStr">
        <is>
          <t>Generico</t>
        </is>
      </c>
      <c r="G168" t="inlineStr">
        <is>
          <t>-</t>
        </is>
      </c>
      <c r="H168" t="inlineStr">
        <is>
          <t>B4</t>
        </is>
      </c>
      <c r="I168" t="inlineStr">
        <is>
          <t>NO APLICA</t>
        </is>
      </c>
      <c r="J168" t="n">
        <v>5</v>
      </c>
      <c r="K168" t="inlineStr">
        <is>
          <t>Activo</t>
        </is>
      </c>
      <c r="L168" t="inlineStr">
        <is>
          <t>Cargue inicial oficial desde INVENTARIO.xlsx</t>
        </is>
      </c>
      <c r="M168" s="59" t="n">
        <v>46264</v>
      </c>
    </row>
    <row r="169">
      <c r="A169" t="n">
        <v>6175</v>
      </c>
      <c r="B169" t="inlineStr">
        <is>
          <t>MCLAMP 40 MM</t>
        </is>
      </c>
      <c r="C169" t="inlineStr">
        <is>
          <t>Materiales</t>
        </is>
      </c>
      <c r="D169" t="inlineStr">
        <is>
          <t>General</t>
        </is>
      </c>
      <c r="E169" t="inlineStr">
        <is>
          <t>Unidad</t>
        </is>
      </c>
      <c r="F169" t="inlineStr">
        <is>
          <t>Generico</t>
        </is>
      </c>
      <c r="G169" t="inlineStr">
        <is>
          <t>-</t>
        </is>
      </c>
      <c r="H169" t="inlineStr">
        <is>
          <t>B4</t>
        </is>
      </c>
      <c r="I169" t="inlineStr">
        <is>
          <t>NO APLICA</t>
        </is>
      </c>
      <c r="J169" t="n">
        <v>5</v>
      </c>
      <c r="K169" t="inlineStr">
        <is>
          <t>Activo</t>
        </is>
      </c>
      <c r="L169" t="inlineStr">
        <is>
          <t>Cargue inicial oficial desde INVENTARIO.xlsx</t>
        </is>
      </c>
      <c r="M169" s="59" t="n">
        <v>46264</v>
      </c>
    </row>
    <row r="170">
      <c r="A170" t="n">
        <v>6207</v>
      </c>
      <c r="B170" t="inlineStr">
        <is>
          <t>MRAIL 3,2 M</t>
        </is>
      </c>
      <c r="C170" t="inlineStr">
        <is>
          <t>Materiales</t>
        </is>
      </c>
      <c r="D170" t="inlineStr">
        <is>
          <t>General</t>
        </is>
      </c>
      <c r="E170" t="inlineStr">
        <is>
          <t>Unidad</t>
        </is>
      </c>
      <c r="F170" t="inlineStr">
        <is>
          <t>Generico</t>
        </is>
      </c>
      <c r="G170" t="inlineStr">
        <is>
          <t>-</t>
        </is>
      </c>
      <c r="H170" t="inlineStr">
        <is>
          <t>-</t>
        </is>
      </c>
      <c r="I170" t="inlineStr">
        <is>
          <t>NO APLICA</t>
        </is>
      </c>
      <c r="J170" t="n">
        <v>5</v>
      </c>
      <c r="K170" t="inlineStr">
        <is>
          <t>Activo</t>
        </is>
      </c>
      <c r="L170" t="inlineStr">
        <is>
          <t>Cargue inicial oficial desde INVENTARIO.xlsx</t>
        </is>
      </c>
      <c r="M170" s="59" t="n">
        <v>46264</v>
      </c>
    </row>
    <row r="171">
      <c r="A171" t="n">
        <v>6217</v>
      </c>
      <c r="B171" t="inlineStr">
        <is>
          <t>MRAIL 4,15 M</t>
        </is>
      </c>
      <c r="C171" t="inlineStr">
        <is>
          <t>Materiales</t>
        </is>
      </c>
      <c r="D171" t="inlineStr">
        <is>
          <t>General</t>
        </is>
      </c>
      <c r="E171" t="inlineStr">
        <is>
          <t>Unidad</t>
        </is>
      </c>
      <c r="F171" t="inlineStr">
        <is>
          <t>Generico</t>
        </is>
      </c>
      <c r="G171" t="inlineStr">
        <is>
          <t>-</t>
        </is>
      </c>
      <c r="H171" t="inlineStr">
        <is>
          <t>-</t>
        </is>
      </c>
      <c r="I171" t="inlineStr">
        <is>
          <t>NO APLICA</t>
        </is>
      </c>
      <c r="J171" t="n">
        <v>5</v>
      </c>
      <c r="K171" t="inlineStr">
        <is>
          <t>Activo</t>
        </is>
      </c>
      <c r="L171" t="inlineStr">
        <is>
          <t>Cargue inicial oficial desde INVENTARIO.xlsx</t>
        </is>
      </c>
      <c r="M171" s="59" t="n">
        <v>46264</v>
      </c>
    </row>
    <row r="172">
      <c r="A172" t="n">
        <v>6238</v>
      </c>
      <c r="B172" t="inlineStr">
        <is>
          <t>MRAIL 6,2 M</t>
        </is>
      </c>
      <c r="C172" t="inlineStr">
        <is>
          <t>Materiales</t>
        </is>
      </c>
      <c r="D172" t="inlineStr">
        <is>
          <t>General</t>
        </is>
      </c>
      <c r="E172" t="inlineStr">
        <is>
          <t>Unidad</t>
        </is>
      </c>
      <c r="F172" t="inlineStr">
        <is>
          <t>Generico</t>
        </is>
      </c>
      <c r="G172" t="inlineStr">
        <is>
          <t>-</t>
        </is>
      </c>
      <c r="H172" t="inlineStr">
        <is>
          <t>-</t>
        </is>
      </c>
      <c r="I172" t="inlineStr">
        <is>
          <t>NO APLICA</t>
        </is>
      </c>
      <c r="J172" t="n">
        <v>5</v>
      </c>
      <c r="K172" t="inlineStr">
        <is>
          <t>Activo</t>
        </is>
      </c>
      <c r="L172" t="inlineStr">
        <is>
          <t>Cargue inicial oficial desde INVENTARIO.xlsx</t>
        </is>
      </c>
      <c r="M172" s="59" t="n">
        <v>46264</v>
      </c>
    </row>
    <row r="173">
      <c r="A173" t="n">
        <v>6240</v>
      </c>
      <c r="B173" t="inlineStr">
        <is>
          <t>SOPORTE TEJA DE BARRO (Z)</t>
        </is>
      </c>
      <c r="C173" t="inlineStr">
        <is>
          <t>Materiales</t>
        </is>
      </c>
      <c r="D173" t="inlineStr">
        <is>
          <t>General</t>
        </is>
      </c>
      <c r="E173" t="inlineStr">
        <is>
          <t>Unidad</t>
        </is>
      </c>
      <c r="F173" t="inlineStr">
        <is>
          <t>Generico</t>
        </is>
      </c>
      <c r="G173" t="inlineStr">
        <is>
          <t>-</t>
        </is>
      </c>
      <c r="H173" t="inlineStr">
        <is>
          <t>B4</t>
        </is>
      </c>
      <c r="I173" t="inlineStr">
        <is>
          <t>NO APLICA</t>
        </is>
      </c>
      <c r="J173" t="n">
        <v>5</v>
      </c>
      <c r="K173" t="inlineStr">
        <is>
          <t>Activo</t>
        </is>
      </c>
      <c r="L173" t="inlineStr">
        <is>
          <t>Cargue inicial oficial desde INVENTARIO.xlsx</t>
        </is>
      </c>
      <c r="M173" s="59" t="n">
        <v>46264</v>
      </c>
    </row>
    <row r="174">
      <c r="A174" t="n">
        <v>6241</v>
      </c>
      <c r="B174" t="inlineStr">
        <is>
          <t>SOPORTE TEJA TRAPEZOIDAL</t>
        </is>
      </c>
      <c r="C174" t="inlineStr">
        <is>
          <t>Materiales</t>
        </is>
      </c>
      <c r="D174" t="inlineStr">
        <is>
          <t>General</t>
        </is>
      </c>
      <c r="E174" t="inlineStr">
        <is>
          <t>Unidad</t>
        </is>
      </c>
      <c r="F174" t="inlineStr">
        <is>
          <t>Generico</t>
        </is>
      </c>
      <c r="G174" t="inlineStr">
        <is>
          <t>-</t>
        </is>
      </c>
      <c r="H174" t="inlineStr">
        <is>
          <t>B5</t>
        </is>
      </c>
      <c r="I174" t="inlineStr">
        <is>
          <t>NO APLICA</t>
        </is>
      </c>
      <c r="J174" t="n">
        <v>5</v>
      </c>
      <c r="K174" t="inlineStr">
        <is>
          <t>Activo</t>
        </is>
      </c>
      <c r="L174" t="inlineStr">
        <is>
          <t>Cargue inicial oficial desde INVENTARIO.xlsx</t>
        </is>
      </c>
      <c r="M174" s="59" t="n">
        <v>46264</v>
      </c>
    </row>
    <row r="175">
      <c r="A175" t="n">
        <v>6250</v>
      </c>
      <c r="B175" t="inlineStr">
        <is>
          <t>TORNILLO M8X20</t>
        </is>
      </c>
      <c r="C175" t="inlineStr">
        <is>
          <t>Tornilleria</t>
        </is>
      </c>
      <c r="D175" t="inlineStr">
        <is>
          <t>General</t>
        </is>
      </c>
      <c r="E175" t="inlineStr">
        <is>
          <t>Unidad</t>
        </is>
      </c>
      <c r="F175" t="inlineStr">
        <is>
          <t>Generico</t>
        </is>
      </c>
      <c r="G175" t="inlineStr">
        <is>
          <t>-</t>
        </is>
      </c>
      <c r="H175" t="inlineStr">
        <is>
          <t>-</t>
        </is>
      </c>
      <c r="I175" t="inlineStr">
        <is>
          <t>NO APLICA</t>
        </is>
      </c>
      <c r="J175" t="n">
        <v>5</v>
      </c>
      <c r="K175" t="inlineStr">
        <is>
          <t>Activo</t>
        </is>
      </c>
      <c r="L175" t="inlineStr">
        <is>
          <t>Cargue inicial oficial desde INVENTARIO.xlsx</t>
        </is>
      </c>
      <c r="M175" s="59" t="n">
        <v>46264</v>
      </c>
    </row>
    <row r="176">
      <c r="A176" t="n">
        <v>6251</v>
      </c>
      <c r="B176" t="inlineStr">
        <is>
          <t>TORNILLO M8X25</t>
        </is>
      </c>
      <c r="C176" t="inlineStr">
        <is>
          <t>Tornilleria</t>
        </is>
      </c>
      <c r="D176" t="inlineStr">
        <is>
          <t>General</t>
        </is>
      </c>
      <c r="E176" t="inlineStr">
        <is>
          <t>Unidad</t>
        </is>
      </c>
      <c r="F176" t="inlineStr">
        <is>
          <t>Generico</t>
        </is>
      </c>
      <c r="G176" t="inlineStr">
        <is>
          <t>-</t>
        </is>
      </c>
      <c r="H176" t="inlineStr">
        <is>
          <t>-</t>
        </is>
      </c>
      <c r="I176" t="inlineStr">
        <is>
          <t>NO APLICA</t>
        </is>
      </c>
      <c r="J176" t="n">
        <v>5</v>
      </c>
      <c r="K176" t="inlineStr">
        <is>
          <t>Activo</t>
        </is>
      </c>
      <c r="L176" t="inlineStr">
        <is>
          <t>Cargue inicial oficial desde INVENTARIO.xlsx</t>
        </is>
      </c>
      <c r="M176" s="59" t="n">
        <v>46264</v>
      </c>
    </row>
    <row r="177">
      <c r="A177" t="n">
        <v>6252</v>
      </c>
      <c r="B177" t="inlineStr">
        <is>
          <t>TORNILLO M8X30</t>
        </is>
      </c>
      <c r="C177" t="inlineStr">
        <is>
          <t>Tornilleria</t>
        </is>
      </c>
      <c r="D177" t="inlineStr">
        <is>
          <t>General</t>
        </is>
      </c>
      <c r="E177" t="inlineStr">
        <is>
          <t>Unidad</t>
        </is>
      </c>
      <c r="F177" t="inlineStr">
        <is>
          <t>Generico</t>
        </is>
      </c>
      <c r="G177" t="inlineStr">
        <is>
          <t>-</t>
        </is>
      </c>
      <c r="H177" t="inlineStr">
        <is>
          <t>-</t>
        </is>
      </c>
      <c r="I177" t="inlineStr">
        <is>
          <t>NO APLICA</t>
        </is>
      </c>
      <c r="J177" t="n">
        <v>5</v>
      </c>
      <c r="K177" t="inlineStr">
        <is>
          <t>Activo</t>
        </is>
      </c>
      <c r="L177" t="inlineStr">
        <is>
          <t>Cargue inicial oficial desde INVENTARIO.xlsx</t>
        </is>
      </c>
      <c r="M177" s="59" t="n">
        <v>46264</v>
      </c>
    </row>
    <row r="178">
      <c r="A178" t="n">
        <v>6254</v>
      </c>
      <c r="B178" t="inlineStr">
        <is>
          <t>TUERCA PERFIL M8</t>
        </is>
      </c>
      <c r="C178" t="inlineStr">
        <is>
          <t>Tornilleria</t>
        </is>
      </c>
      <c r="D178" t="inlineStr">
        <is>
          <t>General</t>
        </is>
      </c>
      <c r="E178" t="inlineStr">
        <is>
          <t>Metro</t>
        </is>
      </c>
      <c r="F178" t="inlineStr">
        <is>
          <t>Generico</t>
        </is>
      </c>
      <c r="G178" t="inlineStr">
        <is>
          <t>-</t>
        </is>
      </c>
      <c r="H178" t="inlineStr">
        <is>
          <t>-</t>
        </is>
      </c>
      <c r="I178" t="inlineStr">
        <is>
          <t>NO APLICA</t>
        </is>
      </c>
      <c r="J178" t="n">
        <v>5</v>
      </c>
      <c r="K178" t="inlineStr">
        <is>
          <t>Activo</t>
        </is>
      </c>
      <c r="L178" t="inlineStr">
        <is>
          <t>Cargue inicial oficial desde INVENTARIO.xlsx</t>
        </is>
      </c>
      <c r="M178" s="59" t="n">
        <v>46264</v>
      </c>
    </row>
    <row r="179">
      <c r="A179" t="n">
        <v>6255</v>
      </c>
      <c r="B179" t="inlineStr">
        <is>
          <t>UNION PERFIL SIN TORNILLO</t>
        </is>
      </c>
      <c r="C179" t="inlineStr">
        <is>
          <t>Tornilleria</t>
        </is>
      </c>
      <c r="D179" t="inlineStr">
        <is>
          <t>General</t>
        </is>
      </c>
      <c r="E179" t="inlineStr">
        <is>
          <t>Metro</t>
        </is>
      </c>
      <c r="F179" t="inlineStr">
        <is>
          <t>Generico</t>
        </is>
      </c>
      <c r="G179" t="inlineStr">
        <is>
          <t>-</t>
        </is>
      </c>
      <c r="H179" t="inlineStr">
        <is>
          <t>-</t>
        </is>
      </c>
      <c r="I179" t="inlineStr">
        <is>
          <t>NO APLICA</t>
        </is>
      </c>
      <c r="J179" t="n">
        <v>5</v>
      </c>
      <c r="K179" t="inlineStr">
        <is>
          <t>Activo</t>
        </is>
      </c>
      <c r="L179" t="inlineStr">
        <is>
          <t>Cargue inicial oficial desde INVENTARIO.xlsx</t>
        </is>
      </c>
      <c r="M179" s="59" t="n">
        <v>46264</v>
      </c>
    </row>
    <row r="180">
      <c r="A180" t="n">
        <v>6256</v>
      </c>
      <c r="B180" t="inlineStr">
        <is>
          <t>WASA INOXIDABLE 3/8"</t>
        </is>
      </c>
      <c r="C180" t="inlineStr">
        <is>
          <t>Materiales</t>
        </is>
      </c>
      <c r="D180" t="inlineStr">
        <is>
          <t>General</t>
        </is>
      </c>
      <c r="E180" t="inlineStr">
        <is>
          <t>Unidad</t>
        </is>
      </c>
      <c r="F180" t="inlineStr">
        <is>
          <t>Generico</t>
        </is>
      </c>
      <c r="G180" t="inlineStr">
        <is>
          <t>-</t>
        </is>
      </c>
      <c r="H180" t="inlineStr">
        <is>
          <t>-</t>
        </is>
      </c>
      <c r="I180" t="inlineStr">
        <is>
          <t>NO APLICA</t>
        </is>
      </c>
      <c r="J180" t="n">
        <v>5</v>
      </c>
      <c r="K180" t="inlineStr">
        <is>
          <t>Activo</t>
        </is>
      </c>
      <c r="L180" t="inlineStr">
        <is>
          <t>Cargue inicial oficial desde INVENTARIO.xlsx</t>
        </is>
      </c>
      <c r="M180" s="59" t="n">
        <v>46264</v>
      </c>
    </row>
    <row r="181">
      <c r="A181" t="n">
        <v>6257</v>
      </c>
      <c r="B181" t="inlineStr">
        <is>
          <t>WASA INOXIDABLE 5/16"</t>
        </is>
      </c>
      <c r="C181" t="inlineStr">
        <is>
          <t>Materiales</t>
        </is>
      </c>
      <c r="D181" t="inlineStr">
        <is>
          <t>General</t>
        </is>
      </c>
      <c r="E181" t="inlineStr">
        <is>
          <t>Unidad</t>
        </is>
      </c>
      <c r="F181" t="inlineStr">
        <is>
          <t>Generico</t>
        </is>
      </c>
      <c r="G181" t="inlineStr">
        <is>
          <t>-</t>
        </is>
      </c>
      <c r="H181" t="inlineStr">
        <is>
          <t>-</t>
        </is>
      </c>
      <c r="I181" t="inlineStr">
        <is>
          <t>NO APLICA</t>
        </is>
      </c>
      <c r="J181" t="n">
        <v>5</v>
      </c>
      <c r="K181" t="inlineStr">
        <is>
          <t>Activo</t>
        </is>
      </c>
      <c r="L181" t="inlineStr">
        <is>
          <t>Cargue inicial oficial desde INVENTARIO.xlsx</t>
        </is>
      </c>
      <c r="M181" s="59" t="n">
        <v>46264</v>
      </c>
    </row>
    <row r="182">
      <c r="A182" t="n">
        <v>7052</v>
      </c>
      <c r="B182" t="inlineStr">
        <is>
          <t>TERMINAL BIMETALICA OJO 1/0 AWG HUECO 3/8"</t>
        </is>
      </c>
      <c r="C182" t="inlineStr">
        <is>
          <t>Elementos electricos</t>
        </is>
      </c>
      <c r="D182" t="inlineStr">
        <is>
          <t>General</t>
        </is>
      </c>
      <c r="E182" t="inlineStr">
        <is>
          <t>Unidad</t>
        </is>
      </c>
      <c r="F182" t="inlineStr">
        <is>
          <t>Generico</t>
        </is>
      </c>
      <c r="G182" t="inlineStr">
        <is>
          <t>-</t>
        </is>
      </c>
      <c r="H182" t="inlineStr">
        <is>
          <t>-</t>
        </is>
      </c>
      <c r="I182" t="inlineStr">
        <is>
          <t>NO APLICA</t>
        </is>
      </c>
      <c r="J182" t="n">
        <v>5</v>
      </c>
      <c r="K182" t="inlineStr">
        <is>
          <t>Activo</t>
        </is>
      </c>
      <c r="L182" t="inlineStr">
        <is>
          <t>Cargue inicial oficial desde INVENTARIO.xlsx</t>
        </is>
      </c>
      <c r="M182" s="59" t="n">
        <v>46264</v>
      </c>
    </row>
    <row r="183">
      <c r="A183" t="n">
        <v>7074</v>
      </c>
      <c r="B183" t="inlineStr">
        <is>
          <t>BORNE DE PASO 1X2 20-4 AWG 76A 800V 12MM WAGO</t>
        </is>
      </c>
      <c r="C183" t="inlineStr">
        <is>
          <t>Materiales</t>
        </is>
      </c>
      <c r="D183" t="inlineStr">
        <is>
          <t>General</t>
        </is>
      </c>
      <c r="E183" t="inlineStr">
        <is>
          <t>Unidad</t>
        </is>
      </c>
      <c r="F183" t="inlineStr">
        <is>
          <t>Generico</t>
        </is>
      </c>
      <c r="G183" t="inlineStr">
        <is>
          <t>-</t>
        </is>
      </c>
      <c r="H183" t="inlineStr">
        <is>
          <t>-</t>
        </is>
      </c>
      <c r="I183" t="inlineStr">
        <is>
          <t>NO APLICA</t>
        </is>
      </c>
      <c r="J183" t="n">
        <v>5</v>
      </c>
      <c r="K183" t="inlineStr">
        <is>
          <t>Activo</t>
        </is>
      </c>
      <c r="L183" t="inlineStr">
        <is>
          <t>Cargue inicial oficial desde INVENTARIO.xlsx</t>
        </is>
      </c>
      <c r="M183" s="59" t="n">
        <v>46264</v>
      </c>
    </row>
    <row r="184">
      <c r="A184" t="n">
        <v>7075</v>
      </c>
      <c r="B184" t="inlineStr">
        <is>
          <t>BORNE DE PASO 1X2 20-8 AWG 41A 800V 7.5MM WAGO</t>
        </is>
      </c>
      <c r="C184" t="inlineStr">
        <is>
          <t>Materiales</t>
        </is>
      </c>
      <c r="D184" t="inlineStr">
        <is>
          <t>General</t>
        </is>
      </c>
      <c r="E184" t="inlineStr">
        <is>
          <t>Unidad</t>
        </is>
      </c>
      <c r="F184" t="inlineStr">
        <is>
          <t>Generico</t>
        </is>
      </c>
      <c r="G184" t="inlineStr">
        <is>
          <t>-</t>
        </is>
      </c>
      <c r="H184" t="inlineStr">
        <is>
          <t>-</t>
        </is>
      </c>
      <c r="I184" t="inlineStr">
        <is>
          <t>NO APLICA</t>
        </is>
      </c>
      <c r="J184" t="n">
        <v>5</v>
      </c>
      <c r="K184" t="inlineStr">
        <is>
          <t>Activo</t>
        </is>
      </c>
      <c r="L184" t="inlineStr">
        <is>
          <t>Cargue inicial oficial desde INVENTARIO.xlsx</t>
        </is>
      </c>
      <c r="M184" s="59" t="n">
        <v>46264</v>
      </c>
    </row>
    <row r="185">
      <c r="A185" t="n">
        <v>7117</v>
      </c>
      <c r="B185" t="inlineStr">
        <is>
          <t>INTERRUPTOR DIFERENCIAL 1P + N 25A (30MA) LS</t>
        </is>
      </c>
      <c r="C185" t="inlineStr">
        <is>
          <t>Elementos electricos</t>
        </is>
      </c>
      <c r="D185" t="inlineStr">
        <is>
          <t>General</t>
        </is>
      </c>
      <c r="E185" t="inlineStr">
        <is>
          <t>Unidad</t>
        </is>
      </c>
      <c r="F185" t="inlineStr">
        <is>
          <t>Generico</t>
        </is>
      </c>
      <c r="G185" t="inlineStr">
        <is>
          <t>-</t>
        </is>
      </c>
      <c r="H185" t="inlineStr">
        <is>
          <t>C2</t>
        </is>
      </c>
      <c r="I185" t="inlineStr">
        <is>
          <t>NO APLICA</t>
        </is>
      </c>
      <c r="J185" t="n">
        <v>5</v>
      </c>
      <c r="K185" t="inlineStr">
        <is>
          <t>Activo</t>
        </is>
      </c>
      <c r="L185" t="inlineStr">
        <is>
          <t>Cargue inicial oficial desde INVENTARIO.xlsx</t>
        </is>
      </c>
      <c r="M185" s="59" t="n">
        <v>46264</v>
      </c>
    </row>
    <row r="186">
      <c r="A186" t="n">
        <v>7118</v>
      </c>
      <c r="B186" t="inlineStr">
        <is>
          <t>INTERRUPTOR DIFERENCIAL 1P + N 32A (30MA) LS</t>
        </is>
      </c>
      <c r="C186" t="inlineStr">
        <is>
          <t>Elementos electricos</t>
        </is>
      </c>
      <c r="D186" t="inlineStr">
        <is>
          <t>General</t>
        </is>
      </c>
      <c r="E186" t="inlineStr">
        <is>
          <t>Unidad</t>
        </is>
      </c>
      <c r="F186" t="inlineStr">
        <is>
          <t>Generico</t>
        </is>
      </c>
      <c r="G186" t="inlineStr">
        <is>
          <t>-</t>
        </is>
      </c>
      <c r="H186" t="inlineStr">
        <is>
          <t>C2</t>
        </is>
      </c>
      <c r="I186" t="inlineStr">
        <is>
          <t>NO APLICA</t>
        </is>
      </c>
      <c r="J186" t="n">
        <v>5</v>
      </c>
      <c r="K186" t="inlineStr">
        <is>
          <t>Activo</t>
        </is>
      </c>
      <c r="L186" t="inlineStr">
        <is>
          <t>Cargue inicial oficial desde INVENTARIO.xlsx</t>
        </is>
      </c>
      <c r="M186" s="59" t="n">
        <v>46264</v>
      </c>
    </row>
    <row r="187">
      <c r="A187" t="n">
        <v>7120</v>
      </c>
      <c r="B187" t="inlineStr">
        <is>
          <t>INTERRUPTOR DIFERENCIAL 1P + N 40A (30MA) LS</t>
        </is>
      </c>
      <c r="C187" t="inlineStr">
        <is>
          <t>Elementos electricos</t>
        </is>
      </c>
      <c r="D187" t="inlineStr">
        <is>
          <t>General</t>
        </is>
      </c>
      <c r="E187" t="inlineStr">
        <is>
          <t>Unidad</t>
        </is>
      </c>
      <c r="F187" t="inlineStr">
        <is>
          <t>Generico</t>
        </is>
      </c>
      <c r="G187" t="inlineStr">
        <is>
          <t>-</t>
        </is>
      </c>
      <c r="H187" t="inlineStr">
        <is>
          <t>C2</t>
        </is>
      </c>
      <c r="I187" t="inlineStr">
        <is>
          <t>NO APLICA</t>
        </is>
      </c>
      <c r="J187" t="n">
        <v>5</v>
      </c>
      <c r="K187" t="inlineStr">
        <is>
          <t>Activo</t>
        </is>
      </c>
      <c r="L187" t="inlineStr">
        <is>
          <t>Cargue inicial oficial desde INVENTARIO.xlsx</t>
        </is>
      </c>
      <c r="M187" s="59" t="n">
        <v>46264</v>
      </c>
    </row>
    <row r="188">
      <c r="A188" t="n">
        <v>7121</v>
      </c>
      <c r="B188" t="inlineStr">
        <is>
          <t>INTERRUPTOR DIFERENCIAL 1P + N 63A (30MA) LS</t>
        </is>
      </c>
      <c r="C188" t="inlineStr">
        <is>
          <t>Elementos electricos</t>
        </is>
      </c>
      <c r="D188" t="inlineStr">
        <is>
          <t>General</t>
        </is>
      </c>
      <c r="E188" t="inlineStr">
        <is>
          <t>Unidad</t>
        </is>
      </c>
      <c r="F188" t="inlineStr">
        <is>
          <t>Generico</t>
        </is>
      </c>
      <c r="G188" t="inlineStr">
        <is>
          <t>-</t>
        </is>
      </c>
      <c r="H188" t="inlineStr">
        <is>
          <t>C2</t>
        </is>
      </c>
      <c r="I188" t="inlineStr">
        <is>
          <t>NO APLICA</t>
        </is>
      </c>
      <c r="J188" t="n">
        <v>5</v>
      </c>
      <c r="K188" t="inlineStr">
        <is>
          <t>Activo</t>
        </is>
      </c>
      <c r="L188" t="inlineStr">
        <is>
          <t>Cargue inicial oficial desde INVENTARIO.xlsx</t>
        </is>
      </c>
      <c r="M188" s="59" t="n">
        <v>46264</v>
      </c>
    </row>
    <row r="189">
      <c r="A189" t="n">
        <v>7131</v>
      </c>
      <c r="B189" t="inlineStr">
        <is>
          <t>INTERRUPTOR TERMOMAGNETICO ENCHUFABLE BIPOLAR 20A (10KA) LS</t>
        </is>
      </c>
      <c r="C189" t="inlineStr">
        <is>
          <t>Elementos electricos</t>
        </is>
      </c>
      <c r="D189" t="inlineStr">
        <is>
          <t>General</t>
        </is>
      </c>
      <c r="E189" t="inlineStr">
        <is>
          <t>Unidad</t>
        </is>
      </c>
      <c r="F189" t="inlineStr">
        <is>
          <t>Generico</t>
        </is>
      </c>
      <c r="G189" t="inlineStr">
        <is>
          <t>-</t>
        </is>
      </c>
      <c r="H189" t="inlineStr">
        <is>
          <t>C2</t>
        </is>
      </c>
      <c r="I189" t="inlineStr">
        <is>
          <t>NO APLICA</t>
        </is>
      </c>
      <c r="J189" t="n">
        <v>5</v>
      </c>
      <c r="K189" t="inlineStr">
        <is>
          <t>Activo</t>
        </is>
      </c>
      <c r="L189" t="inlineStr">
        <is>
          <t>Cargue inicial oficial desde INVENTARIO.xlsx</t>
        </is>
      </c>
      <c r="M189" s="59" t="n">
        <v>46264</v>
      </c>
    </row>
    <row r="190">
      <c r="A190" t="n">
        <v>7132</v>
      </c>
      <c r="B190" t="inlineStr">
        <is>
          <t>INTERRUPTOR TERMOMAGNETICO ENCHUFABLE BIPOLAR 30A (10KA) LS</t>
        </is>
      </c>
      <c r="C190" t="inlineStr">
        <is>
          <t>Elementos electricos</t>
        </is>
      </c>
      <c r="D190" t="inlineStr">
        <is>
          <t>General</t>
        </is>
      </c>
      <c r="E190" t="inlineStr">
        <is>
          <t>Unidad</t>
        </is>
      </c>
      <c r="F190" t="inlineStr">
        <is>
          <t>Generico</t>
        </is>
      </c>
      <c r="G190" t="inlineStr">
        <is>
          <t>-</t>
        </is>
      </c>
      <c r="H190" t="inlineStr">
        <is>
          <t>C2</t>
        </is>
      </c>
      <c r="I190" t="inlineStr">
        <is>
          <t>NO APLICA</t>
        </is>
      </c>
      <c r="J190" t="n">
        <v>5</v>
      </c>
      <c r="K190" t="inlineStr">
        <is>
          <t>Activo</t>
        </is>
      </c>
      <c r="L190" t="inlineStr">
        <is>
          <t>Cargue inicial oficial desde INVENTARIO.xlsx</t>
        </is>
      </c>
      <c r="M190" s="59" t="n">
        <v>46264</v>
      </c>
    </row>
    <row r="191">
      <c r="A191" t="n">
        <v>7133</v>
      </c>
      <c r="B191" t="inlineStr">
        <is>
          <t>INTERRUPTOR TERMOMAGNETICO ENCHUFABLE BIPOLAR 40A (10KA) LS</t>
        </is>
      </c>
      <c r="C191" t="inlineStr">
        <is>
          <t>Elementos electricos</t>
        </is>
      </c>
      <c r="D191" t="inlineStr">
        <is>
          <t>General</t>
        </is>
      </c>
      <c r="E191" t="inlineStr">
        <is>
          <t>Unidad</t>
        </is>
      </c>
      <c r="F191" t="inlineStr">
        <is>
          <t>Generico</t>
        </is>
      </c>
      <c r="G191" t="inlineStr">
        <is>
          <t>-</t>
        </is>
      </c>
      <c r="H191" t="inlineStr">
        <is>
          <t>C2</t>
        </is>
      </c>
      <c r="I191" t="inlineStr">
        <is>
          <t>NO APLICA</t>
        </is>
      </c>
      <c r="J191" t="n">
        <v>5</v>
      </c>
      <c r="K191" t="inlineStr">
        <is>
          <t>Activo</t>
        </is>
      </c>
      <c r="L191" t="inlineStr">
        <is>
          <t>Cargue inicial oficial desde INVENTARIO.xlsx</t>
        </is>
      </c>
      <c r="M191" s="59" t="n">
        <v>46264</v>
      </c>
    </row>
    <row r="192">
      <c r="A192" t="n">
        <v>7135</v>
      </c>
      <c r="B192" t="inlineStr">
        <is>
          <t>INTERRUPTOR TERMOMAGNETICO ENCHUFABLE BIPOLAR 50A (10KA) LS</t>
        </is>
      </c>
      <c r="C192" t="inlineStr">
        <is>
          <t>Elementos electricos</t>
        </is>
      </c>
      <c r="D192" t="inlineStr">
        <is>
          <t>General</t>
        </is>
      </c>
      <c r="E192" t="inlineStr">
        <is>
          <t>Unidad</t>
        </is>
      </c>
      <c r="F192" t="inlineStr">
        <is>
          <t>Generico</t>
        </is>
      </c>
      <c r="G192" t="inlineStr">
        <is>
          <t>-</t>
        </is>
      </c>
      <c r="H192" t="inlineStr">
        <is>
          <t>C2</t>
        </is>
      </c>
      <c r="I192" t="inlineStr">
        <is>
          <t>NO APLICA</t>
        </is>
      </c>
      <c r="J192" t="n">
        <v>5</v>
      </c>
      <c r="K192" t="inlineStr">
        <is>
          <t>Activo</t>
        </is>
      </c>
      <c r="L192" t="inlineStr">
        <is>
          <t>Cargue inicial oficial desde INVENTARIO.xlsx</t>
        </is>
      </c>
      <c r="M192" s="59" t="n">
        <v>46264</v>
      </c>
    </row>
    <row r="193">
      <c r="A193" t="n">
        <v>7139</v>
      </c>
      <c r="B193" t="inlineStr">
        <is>
          <t>INTERRUPTOR TERMOMAGNETICO ENCHUFABLE MONOPOLAR 15A (10KA) LS</t>
        </is>
      </c>
      <c r="C193" t="inlineStr">
        <is>
          <t>Elementos electricos</t>
        </is>
      </c>
      <c r="D193" t="inlineStr">
        <is>
          <t>General</t>
        </is>
      </c>
      <c r="E193" t="inlineStr">
        <is>
          <t>Unidad</t>
        </is>
      </c>
      <c r="F193" t="inlineStr">
        <is>
          <t>Generico</t>
        </is>
      </c>
      <c r="G193" t="inlineStr">
        <is>
          <t>-</t>
        </is>
      </c>
      <c r="H193" t="inlineStr">
        <is>
          <t>C2</t>
        </is>
      </c>
      <c r="I193" t="inlineStr">
        <is>
          <t>NO APLICA</t>
        </is>
      </c>
      <c r="J193" t="n">
        <v>5</v>
      </c>
      <c r="K193" t="inlineStr">
        <is>
          <t>Activo</t>
        </is>
      </c>
      <c r="L193" t="inlineStr">
        <is>
          <t>Cargue inicial oficial desde INVENTARIO.xlsx</t>
        </is>
      </c>
      <c r="M193" s="59" t="n">
        <v>46264</v>
      </c>
    </row>
    <row r="194">
      <c r="A194" t="n">
        <v>7147</v>
      </c>
      <c r="B194" t="inlineStr">
        <is>
          <t>INTERRUPTOR TERMOMAGNETICO ENCHUFABLE TRIPOLAR 20A (10KA) LS</t>
        </is>
      </c>
      <c r="C194" t="inlineStr">
        <is>
          <t>Elementos electricos</t>
        </is>
      </c>
      <c r="D194" t="inlineStr">
        <is>
          <t>General</t>
        </is>
      </c>
      <c r="E194" t="inlineStr">
        <is>
          <t>Unidad</t>
        </is>
      </c>
      <c r="F194" t="inlineStr">
        <is>
          <t>Generico</t>
        </is>
      </c>
      <c r="G194" t="inlineStr">
        <is>
          <t>-</t>
        </is>
      </c>
      <c r="H194" t="inlineStr">
        <is>
          <t>C2</t>
        </is>
      </c>
      <c r="I194" t="inlineStr">
        <is>
          <t>NO APLICA</t>
        </is>
      </c>
      <c r="J194" t="n">
        <v>5</v>
      </c>
      <c r="K194" t="inlineStr">
        <is>
          <t>Activo</t>
        </is>
      </c>
      <c r="L194" t="inlineStr">
        <is>
          <t>Cargue inicial oficial desde INVENTARIO.xlsx</t>
        </is>
      </c>
      <c r="M194" s="59" t="n">
        <v>46264</v>
      </c>
    </row>
    <row r="195">
      <c r="A195" t="n">
        <v>7154</v>
      </c>
      <c r="B195" t="inlineStr">
        <is>
          <t>INTERRUPTOR TERMOMAGNETICO INDUSTRIAL BIPOLAR 100A (35KA) LS</t>
        </is>
      </c>
      <c r="C195" t="inlineStr">
        <is>
          <t>Elementos electricos</t>
        </is>
      </c>
      <c r="D195" t="inlineStr">
        <is>
          <t>General</t>
        </is>
      </c>
      <c r="E195" t="inlineStr">
        <is>
          <t>Unidad</t>
        </is>
      </c>
      <c r="F195" t="inlineStr">
        <is>
          <t>Generico</t>
        </is>
      </c>
      <c r="G195" t="inlineStr">
        <is>
          <t>-</t>
        </is>
      </c>
      <c r="H195" t="inlineStr">
        <is>
          <t>C2</t>
        </is>
      </c>
      <c r="I195" t="inlineStr">
        <is>
          <t>NO APLICA</t>
        </is>
      </c>
      <c r="J195" t="n">
        <v>5</v>
      </c>
      <c r="K195" t="inlineStr">
        <is>
          <t>Activo</t>
        </is>
      </c>
      <c r="L195" t="inlineStr">
        <is>
          <t>Cargue inicial oficial desde INVENTARIO.xlsx</t>
        </is>
      </c>
      <c r="M195" s="59" t="n">
        <v>46264</v>
      </c>
    </row>
    <row r="196">
      <c r="A196" t="n">
        <v>7161</v>
      </c>
      <c r="B196" t="inlineStr">
        <is>
          <t>INTERRUPTOR TERMOMAGNETICO INDUSTRIAL BIPOLAR 30A (30KA) LS</t>
        </is>
      </c>
      <c r="C196" t="inlineStr">
        <is>
          <t>Elementos electricos</t>
        </is>
      </c>
      <c r="D196" t="inlineStr">
        <is>
          <t>General</t>
        </is>
      </c>
      <c r="E196" t="inlineStr">
        <is>
          <t>Unidad</t>
        </is>
      </c>
      <c r="F196" t="inlineStr">
        <is>
          <t>Generico</t>
        </is>
      </c>
      <c r="G196" t="inlineStr">
        <is>
          <t>-</t>
        </is>
      </c>
      <c r="H196" t="inlineStr">
        <is>
          <t>C2</t>
        </is>
      </c>
      <c r="I196" t="inlineStr">
        <is>
          <t>NO APLICA</t>
        </is>
      </c>
      <c r="J196" t="n">
        <v>5</v>
      </c>
      <c r="K196" t="inlineStr">
        <is>
          <t>Activo</t>
        </is>
      </c>
      <c r="L196" t="inlineStr">
        <is>
          <t>Cargue inicial oficial desde INVENTARIO.xlsx</t>
        </is>
      </c>
      <c r="M196" s="59" t="n">
        <v>46264</v>
      </c>
    </row>
    <row r="197">
      <c r="A197" t="n">
        <v>7163</v>
      </c>
      <c r="B197" t="inlineStr">
        <is>
          <t>INTERRUPTOR TERMOMAGNETICO INDUSTRIAL BIPOLAR 40A (30KA) LS</t>
        </is>
      </c>
      <c r="C197" t="inlineStr">
        <is>
          <t>Elementos electricos</t>
        </is>
      </c>
      <c r="D197" t="inlineStr">
        <is>
          <t>General</t>
        </is>
      </c>
      <c r="E197" t="inlineStr">
        <is>
          <t>Unidad</t>
        </is>
      </c>
      <c r="F197" t="inlineStr">
        <is>
          <t>Generico</t>
        </is>
      </c>
      <c r="G197" t="inlineStr">
        <is>
          <t>-</t>
        </is>
      </c>
      <c r="H197" t="inlineStr">
        <is>
          <t>C2</t>
        </is>
      </c>
      <c r="I197" t="inlineStr">
        <is>
          <t>NO APLICA</t>
        </is>
      </c>
      <c r="J197" t="n">
        <v>5</v>
      </c>
      <c r="K197" t="inlineStr">
        <is>
          <t>Activo</t>
        </is>
      </c>
      <c r="L197" t="inlineStr">
        <is>
          <t>Cargue inicial oficial desde INVENTARIO.xlsx</t>
        </is>
      </c>
      <c r="M197" s="59" t="n">
        <v>46264</v>
      </c>
    </row>
    <row r="198">
      <c r="A198" t="n">
        <v>7192</v>
      </c>
      <c r="B198" t="inlineStr">
        <is>
          <t>INTERRUPTOR TERMOMAGNETICO INDUSTRIAL TRIPOLAR 175A (65KA) LS</t>
        </is>
      </c>
      <c r="C198" t="inlineStr">
        <is>
          <t>Elementos electricos</t>
        </is>
      </c>
      <c r="D198" t="inlineStr">
        <is>
          <t>General</t>
        </is>
      </c>
      <c r="E198" t="inlineStr">
        <is>
          <t>Unidad</t>
        </is>
      </c>
      <c r="F198" t="inlineStr">
        <is>
          <t>Generico</t>
        </is>
      </c>
      <c r="G198" t="inlineStr">
        <is>
          <t>-</t>
        </is>
      </c>
      <c r="H198" t="inlineStr">
        <is>
          <t>C2</t>
        </is>
      </c>
      <c r="I198" t="inlineStr">
        <is>
          <t>NO APLICA</t>
        </is>
      </c>
      <c r="J198" t="n">
        <v>5</v>
      </c>
      <c r="K198" t="inlineStr">
        <is>
          <t>Activo</t>
        </is>
      </c>
      <c r="L198" t="inlineStr">
        <is>
          <t>Cargue inicial oficial desde INVENTARIO.xlsx</t>
        </is>
      </c>
      <c r="M198" s="59" t="n">
        <v>46264</v>
      </c>
    </row>
    <row r="199">
      <c r="A199" t="n">
        <v>7194</v>
      </c>
      <c r="B199" t="inlineStr">
        <is>
          <t>INTERRUPTOR TERMOMAGNETICO INDUSTRIAL TRIPOLAR 200A (65KA) LS</t>
        </is>
      </c>
      <c r="C199" t="inlineStr">
        <is>
          <t>Elementos electricos</t>
        </is>
      </c>
      <c r="D199" t="inlineStr">
        <is>
          <t>General</t>
        </is>
      </c>
      <c r="E199" t="inlineStr">
        <is>
          <t>Unidad</t>
        </is>
      </c>
      <c r="F199" t="inlineStr">
        <is>
          <t>Generico</t>
        </is>
      </c>
      <c r="G199" t="inlineStr">
        <is>
          <t>-</t>
        </is>
      </c>
      <c r="H199" t="inlineStr">
        <is>
          <t>C2</t>
        </is>
      </c>
      <c r="I199" t="inlineStr">
        <is>
          <t>NO APLICA</t>
        </is>
      </c>
      <c r="J199" t="n">
        <v>5</v>
      </c>
      <c r="K199" t="inlineStr">
        <is>
          <t>Activo</t>
        </is>
      </c>
      <c r="L199" t="inlineStr">
        <is>
          <t>Cargue inicial oficial desde INVENTARIO.xlsx</t>
        </is>
      </c>
      <c r="M199" s="59" t="n">
        <v>46264</v>
      </c>
    </row>
    <row r="200">
      <c r="A200" t="n">
        <v>7210</v>
      </c>
      <c r="B200" t="inlineStr">
        <is>
          <t>INTERRUPTOR TERMOMAGNETICO INDUSTRIAL TRIPOLAR 40A (30KA) LS</t>
        </is>
      </c>
      <c r="C200" t="inlineStr">
        <is>
          <t>Elementos electricos</t>
        </is>
      </c>
      <c r="D200" t="inlineStr">
        <is>
          <t>General</t>
        </is>
      </c>
      <c r="E200" t="inlineStr">
        <is>
          <t>Unidad</t>
        </is>
      </c>
      <c r="F200" t="inlineStr">
        <is>
          <t>Generico</t>
        </is>
      </c>
      <c r="G200" t="inlineStr">
        <is>
          <t>-</t>
        </is>
      </c>
      <c r="H200" t="inlineStr">
        <is>
          <t>C2</t>
        </is>
      </c>
      <c r="I200" t="inlineStr">
        <is>
          <t>NO APLICA</t>
        </is>
      </c>
      <c r="J200" t="n">
        <v>5</v>
      </c>
      <c r="K200" t="inlineStr">
        <is>
          <t>Activo</t>
        </is>
      </c>
      <c r="L200" t="inlineStr">
        <is>
          <t>Cargue inicial oficial desde INVENTARIO.xlsx</t>
        </is>
      </c>
      <c r="M200" s="59" t="n">
        <v>46264</v>
      </c>
    </row>
    <row r="201">
      <c r="A201" t="n">
        <v>7233</v>
      </c>
      <c r="B201" t="inlineStr">
        <is>
          <t>INTERRUPTOR TERMOMAGNETICO PARA RIEL DIN BIPOLAR 20A (10KA) LS</t>
        </is>
      </c>
      <c r="C201" t="inlineStr">
        <is>
          <t>Elementos electricos</t>
        </is>
      </c>
      <c r="D201" t="inlineStr">
        <is>
          <t>General</t>
        </is>
      </c>
      <c r="E201" t="inlineStr">
        <is>
          <t>Unidad</t>
        </is>
      </c>
      <c r="F201" t="inlineStr">
        <is>
          <t>Generico</t>
        </is>
      </c>
      <c r="G201" t="inlineStr">
        <is>
          <t>-</t>
        </is>
      </c>
      <c r="H201" t="inlineStr">
        <is>
          <t>C2</t>
        </is>
      </c>
      <c r="I201" t="inlineStr">
        <is>
          <t>NO APLICA</t>
        </is>
      </c>
      <c r="J201" t="n">
        <v>5</v>
      </c>
      <c r="K201" t="inlineStr">
        <is>
          <t>Activo</t>
        </is>
      </c>
      <c r="L201" t="inlineStr">
        <is>
          <t>Cargue inicial oficial desde INVENTARIO.xlsx</t>
        </is>
      </c>
      <c r="M201" s="59" t="n">
        <v>46264</v>
      </c>
    </row>
    <row r="202">
      <c r="A202" t="n">
        <v>7234</v>
      </c>
      <c r="B202" t="inlineStr">
        <is>
          <t>INTERRUPTOR TERMOMAGNETICO PARA RIEL DIN BIPOLAR 25A (10KA) LS</t>
        </is>
      </c>
      <c r="C202" t="inlineStr">
        <is>
          <t>Elementos electricos</t>
        </is>
      </c>
      <c r="D202" t="inlineStr">
        <is>
          <t>General</t>
        </is>
      </c>
      <c r="E202" t="inlineStr">
        <is>
          <t>Unidad</t>
        </is>
      </c>
      <c r="F202" t="inlineStr">
        <is>
          <t>Generico</t>
        </is>
      </c>
      <c r="G202" t="inlineStr">
        <is>
          <t>-</t>
        </is>
      </c>
      <c r="H202" t="inlineStr">
        <is>
          <t>C2</t>
        </is>
      </c>
      <c r="I202" t="inlineStr">
        <is>
          <t>NO APLICA</t>
        </is>
      </c>
      <c r="J202" t="n">
        <v>5</v>
      </c>
      <c r="K202" t="inlineStr">
        <is>
          <t>Activo</t>
        </is>
      </c>
      <c r="L202" t="inlineStr">
        <is>
          <t>Cargue inicial oficial desde INVENTARIO.xlsx</t>
        </is>
      </c>
      <c r="M202" s="59" t="n">
        <v>46264</v>
      </c>
    </row>
    <row r="203">
      <c r="A203" t="n">
        <v>7236</v>
      </c>
      <c r="B203" t="inlineStr">
        <is>
          <t>INTERRUPTOR TERMOMAGNETICO PARA RIEL DIN BIPOLAR 32A (10KA) LS</t>
        </is>
      </c>
      <c r="C203" t="inlineStr">
        <is>
          <t>Elementos electricos</t>
        </is>
      </c>
      <c r="D203" t="inlineStr">
        <is>
          <t>General</t>
        </is>
      </c>
      <c r="E203" t="inlineStr">
        <is>
          <t>Unidad</t>
        </is>
      </c>
      <c r="F203" t="inlineStr">
        <is>
          <t>Generico</t>
        </is>
      </c>
      <c r="G203" t="inlineStr">
        <is>
          <t>-</t>
        </is>
      </c>
      <c r="H203" t="inlineStr">
        <is>
          <t>C2</t>
        </is>
      </c>
      <c r="I203" t="inlineStr">
        <is>
          <t>NO APLICA</t>
        </is>
      </c>
      <c r="J203" t="n">
        <v>5</v>
      </c>
      <c r="K203" t="inlineStr">
        <is>
          <t>Activo</t>
        </is>
      </c>
      <c r="L203" t="inlineStr">
        <is>
          <t>Cargue inicial oficial desde INVENTARIO.xlsx</t>
        </is>
      </c>
      <c r="M203" s="59" t="n">
        <v>46264</v>
      </c>
    </row>
    <row r="204">
      <c r="A204" t="n">
        <v>7238</v>
      </c>
      <c r="B204" t="inlineStr">
        <is>
          <t>INTERRUPTOR TERMOMAGNETICO PARA RIEL DIN BIPOLAR 40A (10KA) LS</t>
        </is>
      </c>
      <c r="C204" t="inlineStr">
        <is>
          <t>Elementos electricos</t>
        </is>
      </c>
      <c r="D204" t="inlineStr">
        <is>
          <t>General</t>
        </is>
      </c>
      <c r="E204" t="inlineStr">
        <is>
          <t>Unidad</t>
        </is>
      </c>
      <c r="F204" t="inlineStr">
        <is>
          <t>Generico</t>
        </is>
      </c>
      <c r="G204" t="inlineStr">
        <is>
          <t>-</t>
        </is>
      </c>
      <c r="H204" t="inlineStr">
        <is>
          <t>C2</t>
        </is>
      </c>
      <c r="I204" t="inlineStr">
        <is>
          <t>NO APLICA</t>
        </is>
      </c>
      <c r="J204" t="n">
        <v>5</v>
      </c>
      <c r="K204" t="inlineStr">
        <is>
          <t>Activo</t>
        </is>
      </c>
      <c r="L204" t="inlineStr">
        <is>
          <t>Cargue inicial oficial desde INVENTARIO.xlsx</t>
        </is>
      </c>
      <c r="M204" s="59" t="n">
        <v>46264</v>
      </c>
    </row>
    <row r="205">
      <c r="A205" t="n">
        <v>7241</v>
      </c>
      <c r="B205" t="inlineStr">
        <is>
          <t>INTERRUPTOR TERMOMAGNETICO PARA RIEL DIN BIPOLAR 50A (10KA) LS</t>
        </is>
      </c>
      <c r="C205" t="inlineStr">
        <is>
          <t>Elementos electricos</t>
        </is>
      </c>
      <c r="D205" t="inlineStr">
        <is>
          <t>General</t>
        </is>
      </c>
      <c r="E205" t="inlineStr">
        <is>
          <t>Unidad</t>
        </is>
      </c>
      <c r="F205" t="inlineStr">
        <is>
          <t>Generico</t>
        </is>
      </c>
      <c r="G205" t="inlineStr">
        <is>
          <t>-</t>
        </is>
      </c>
      <c r="H205" t="inlineStr">
        <is>
          <t>C2</t>
        </is>
      </c>
      <c r="I205" t="inlineStr">
        <is>
          <t>NO APLICA</t>
        </is>
      </c>
      <c r="J205" t="n">
        <v>5</v>
      </c>
      <c r="K205" t="inlineStr">
        <is>
          <t>Activo</t>
        </is>
      </c>
      <c r="L205" t="inlineStr">
        <is>
          <t>Cargue inicial oficial desde INVENTARIO.xlsx</t>
        </is>
      </c>
      <c r="M205" s="59" t="n">
        <v>46264</v>
      </c>
    </row>
    <row r="206">
      <c r="A206" t="n">
        <v>7242</v>
      </c>
      <c r="B206" t="inlineStr">
        <is>
          <t>INTERRUPTOR TERMOMAGNETICO PARA RIEL DIN BIPOLAR 63A (10KA) LS</t>
        </is>
      </c>
      <c r="C206" t="inlineStr">
        <is>
          <t>Elementos electricos</t>
        </is>
      </c>
      <c r="D206" t="inlineStr">
        <is>
          <t>General</t>
        </is>
      </c>
      <c r="E206" t="inlineStr">
        <is>
          <t>Unidad</t>
        </is>
      </c>
      <c r="F206" t="inlineStr">
        <is>
          <t>Generico</t>
        </is>
      </c>
      <c r="G206" t="inlineStr">
        <is>
          <t>-</t>
        </is>
      </c>
      <c r="H206" t="inlineStr">
        <is>
          <t>C2</t>
        </is>
      </c>
      <c r="I206" t="inlineStr">
        <is>
          <t>NO APLICA</t>
        </is>
      </c>
      <c r="J206" t="n">
        <v>5</v>
      </c>
      <c r="K206" t="inlineStr">
        <is>
          <t>Activo</t>
        </is>
      </c>
      <c r="L206" t="inlineStr">
        <is>
          <t>Cargue inicial oficial desde INVENTARIO.xlsx</t>
        </is>
      </c>
      <c r="M206" s="59" t="n">
        <v>46264</v>
      </c>
    </row>
    <row r="207">
      <c r="A207" t="n">
        <v>7247</v>
      </c>
      <c r="B207" t="inlineStr">
        <is>
          <t>INTERRUPTOR TERMOMAGNETICO PARA RIEL DIN MONOPOLAR 20A (10KA) LS</t>
        </is>
      </c>
      <c r="C207" t="inlineStr">
        <is>
          <t>Elementos electricos</t>
        </is>
      </c>
      <c r="D207" t="inlineStr">
        <is>
          <t>General</t>
        </is>
      </c>
      <c r="E207" t="inlineStr">
        <is>
          <t>Unidad</t>
        </is>
      </c>
      <c r="F207" t="inlineStr">
        <is>
          <t>Generico</t>
        </is>
      </c>
      <c r="G207" t="inlineStr">
        <is>
          <t>-</t>
        </is>
      </c>
      <c r="H207" t="inlineStr">
        <is>
          <t>C2</t>
        </is>
      </c>
      <c r="I207" t="inlineStr">
        <is>
          <t>NO APLICA</t>
        </is>
      </c>
      <c r="J207" t="n">
        <v>5</v>
      </c>
      <c r="K207" t="inlineStr">
        <is>
          <t>Activo</t>
        </is>
      </c>
      <c r="L207" t="inlineStr">
        <is>
          <t>Cargue inicial oficial desde INVENTARIO.xlsx</t>
        </is>
      </c>
      <c r="M207" s="59" t="n">
        <v>46264</v>
      </c>
    </row>
    <row r="208">
      <c r="A208" t="n">
        <v>7259</v>
      </c>
      <c r="B208" t="inlineStr">
        <is>
          <t>INTERRUPTOR TERMOMAGNETICO PARA RIEL DIN TRIPOLAR 16A (10KA) LS</t>
        </is>
      </c>
      <c r="C208" t="inlineStr">
        <is>
          <t>Elementos electricos</t>
        </is>
      </c>
      <c r="D208" t="inlineStr">
        <is>
          <t>General</t>
        </is>
      </c>
      <c r="E208" t="inlineStr">
        <is>
          <t>Unidad</t>
        </is>
      </c>
      <c r="F208" t="inlineStr">
        <is>
          <t>Generico</t>
        </is>
      </c>
      <c r="G208" t="inlineStr">
        <is>
          <t>-</t>
        </is>
      </c>
      <c r="H208" t="inlineStr">
        <is>
          <t>C2</t>
        </is>
      </c>
      <c r="I208" t="inlineStr">
        <is>
          <t>NO APLICA</t>
        </is>
      </c>
      <c r="J208" t="n">
        <v>5</v>
      </c>
      <c r="K208" t="inlineStr">
        <is>
          <t>Activo</t>
        </is>
      </c>
      <c r="L208" t="inlineStr">
        <is>
          <t>Cargue inicial oficial desde INVENTARIO.xlsx</t>
        </is>
      </c>
      <c r="M208" s="59" t="n">
        <v>46264</v>
      </c>
    </row>
    <row r="209">
      <c r="A209" t="n">
        <v>7261</v>
      </c>
      <c r="B209" t="inlineStr">
        <is>
          <t>INTERRUPTOR TERMOMAGNETICO PARA RIEL DIN TRIPOLAR 20A (10KA) LS</t>
        </is>
      </c>
      <c r="C209" t="inlineStr">
        <is>
          <t>Elementos electricos</t>
        </is>
      </c>
      <c r="D209" t="inlineStr">
        <is>
          <t>General</t>
        </is>
      </c>
      <c r="E209" t="inlineStr">
        <is>
          <t>Unidad</t>
        </is>
      </c>
      <c r="F209" t="inlineStr">
        <is>
          <t>Generico</t>
        </is>
      </c>
      <c r="G209" t="inlineStr">
        <is>
          <t>-</t>
        </is>
      </c>
      <c r="H209" t="inlineStr">
        <is>
          <t>C2</t>
        </is>
      </c>
      <c r="I209" t="inlineStr">
        <is>
          <t>NO APLICA</t>
        </is>
      </c>
      <c r="J209" t="n">
        <v>5</v>
      </c>
      <c r="K209" t="inlineStr">
        <is>
          <t>Activo</t>
        </is>
      </c>
      <c r="L209" t="inlineStr">
        <is>
          <t>Cargue inicial oficial desde INVENTARIO.xlsx</t>
        </is>
      </c>
      <c r="M209" s="59" t="n">
        <v>46264</v>
      </c>
    </row>
    <row r="210">
      <c r="A210" t="n">
        <v>7262</v>
      </c>
      <c r="B210" t="inlineStr">
        <is>
          <t>INTERRUPTOR TERMOMAGNETICO PARA RIEL DIN TRIPOLAR 25A (10KA) LS</t>
        </is>
      </c>
      <c r="C210" t="inlineStr">
        <is>
          <t>Elementos electricos</t>
        </is>
      </c>
      <c r="D210" t="inlineStr">
        <is>
          <t>General</t>
        </is>
      </c>
      <c r="E210" t="inlineStr">
        <is>
          <t>Unidad</t>
        </is>
      </c>
      <c r="F210" t="inlineStr">
        <is>
          <t>Generico</t>
        </is>
      </c>
      <c r="G210" t="inlineStr">
        <is>
          <t>-</t>
        </is>
      </c>
      <c r="H210" t="inlineStr">
        <is>
          <t>C2</t>
        </is>
      </c>
      <c r="I210" t="inlineStr">
        <is>
          <t>NO APLICA</t>
        </is>
      </c>
      <c r="J210" t="n">
        <v>5</v>
      </c>
      <c r="K210" t="inlineStr">
        <is>
          <t>Activo</t>
        </is>
      </c>
      <c r="L210" t="inlineStr">
        <is>
          <t>Cargue inicial oficial desde INVENTARIO.xlsx</t>
        </is>
      </c>
      <c r="M210" s="59" t="n">
        <v>46264</v>
      </c>
    </row>
    <row r="211">
      <c r="A211" t="n">
        <v>7264</v>
      </c>
      <c r="B211" t="inlineStr">
        <is>
          <t>INTERRUPTOR TERMOMAGNETICO PARA RIEL DIN TRIPOLAR 32A (10KA) LS</t>
        </is>
      </c>
      <c r="C211" t="inlineStr">
        <is>
          <t>Elementos electricos</t>
        </is>
      </c>
      <c r="D211" t="inlineStr">
        <is>
          <t>General</t>
        </is>
      </c>
      <c r="E211" t="inlineStr">
        <is>
          <t>Unidad</t>
        </is>
      </c>
      <c r="F211" t="inlineStr">
        <is>
          <t>Generico</t>
        </is>
      </c>
      <c r="G211" t="inlineStr">
        <is>
          <t>-</t>
        </is>
      </c>
      <c r="H211" t="inlineStr">
        <is>
          <t>C2</t>
        </is>
      </c>
      <c r="I211" t="inlineStr">
        <is>
          <t>NO APLICA</t>
        </is>
      </c>
      <c r="J211" t="n">
        <v>5</v>
      </c>
      <c r="K211" t="inlineStr">
        <is>
          <t>Activo</t>
        </is>
      </c>
      <c r="L211" t="inlineStr">
        <is>
          <t>Cargue inicial oficial desde INVENTARIO.xlsx</t>
        </is>
      </c>
      <c r="M211" s="59" t="n">
        <v>46264</v>
      </c>
    </row>
    <row r="212">
      <c r="A212" t="n">
        <v>7269</v>
      </c>
      <c r="B212" t="inlineStr">
        <is>
          <t>INTERRUPTOR TERMOMAGNETICO PARA RIEL DIN TRIPOLAR 63A (10KA) LS</t>
        </is>
      </c>
      <c r="C212" t="inlineStr">
        <is>
          <t>Elementos electricos</t>
        </is>
      </c>
      <c r="D212" t="inlineStr">
        <is>
          <t>General</t>
        </is>
      </c>
      <c r="E212" t="inlineStr">
        <is>
          <t>Unidad</t>
        </is>
      </c>
      <c r="F212" t="inlineStr">
        <is>
          <t>Generico</t>
        </is>
      </c>
      <c r="G212" t="inlineStr">
        <is>
          <t>-</t>
        </is>
      </c>
      <c r="H212" t="inlineStr">
        <is>
          <t>C2</t>
        </is>
      </c>
      <c r="I212" t="inlineStr">
        <is>
          <t>NO APLICA</t>
        </is>
      </c>
      <c r="J212" t="n">
        <v>5</v>
      </c>
      <c r="K212" t="inlineStr">
        <is>
          <t>Activo</t>
        </is>
      </c>
      <c r="L212" t="inlineStr">
        <is>
          <t>Cargue inicial oficial desde INVENTARIO.xlsx</t>
        </is>
      </c>
      <c r="M212" s="59" t="n">
        <v>46264</v>
      </c>
    </row>
    <row r="213">
      <c r="A213" t="n">
        <v>7281</v>
      </c>
      <c r="B213" t="inlineStr">
        <is>
          <t>RELE DE PROTECCION SIL-G FANOX</t>
        </is>
      </c>
      <c r="C213" t="inlineStr">
        <is>
          <t>Elementos electricos</t>
        </is>
      </c>
      <c r="D213" t="inlineStr">
        <is>
          <t>General</t>
        </is>
      </c>
      <c r="E213" t="inlineStr">
        <is>
          <t>Unidad</t>
        </is>
      </c>
      <c r="F213" t="inlineStr">
        <is>
          <t>Generico</t>
        </is>
      </c>
      <c r="G213" t="inlineStr">
        <is>
          <t>-</t>
        </is>
      </c>
      <c r="H213" t="inlineStr">
        <is>
          <t>-</t>
        </is>
      </c>
      <c r="I213" t="inlineStr">
        <is>
          <t>NO APLICA</t>
        </is>
      </c>
      <c r="J213" t="n">
        <v>5</v>
      </c>
      <c r="K213" t="inlineStr">
        <is>
          <t>Activo</t>
        </is>
      </c>
      <c r="L213" t="inlineStr">
        <is>
          <t>Cargue inicial oficial desde INVENTARIO.xlsx</t>
        </is>
      </c>
      <c r="M213" s="59" t="n">
        <v>46264</v>
      </c>
    </row>
    <row r="214">
      <c r="A214" t="n">
        <v>7290</v>
      </c>
      <c r="B214" t="inlineStr">
        <is>
          <t>TRANSFORMADOR DE CORRIENTE 400/5A CLASE 0,5S MAVILL</t>
        </is>
      </c>
      <c r="C214" t="inlineStr">
        <is>
          <t>Materiales</t>
        </is>
      </c>
      <c r="D214" t="inlineStr">
        <is>
          <t>General</t>
        </is>
      </c>
      <c r="E214" t="inlineStr">
        <is>
          <t>Unidad</t>
        </is>
      </c>
      <c r="F214" t="inlineStr">
        <is>
          <t>Generico</t>
        </is>
      </c>
      <c r="G214" t="inlineStr">
        <is>
          <t>-</t>
        </is>
      </c>
      <c r="H214" t="inlineStr">
        <is>
          <t>-</t>
        </is>
      </c>
      <c r="I214" t="inlineStr">
        <is>
          <t>NO APLICA</t>
        </is>
      </c>
      <c r="J214" t="n">
        <v>5</v>
      </c>
      <c r="K214" t="inlineStr">
        <is>
          <t>Activo</t>
        </is>
      </c>
      <c r="L214" t="inlineStr">
        <is>
          <t>Cargue inicial oficial desde INVENTARIO.xlsx</t>
        </is>
      </c>
      <c r="M214" s="59" t="n">
        <v>46264</v>
      </c>
    </row>
    <row r="215">
      <c r="A215" t="n">
        <v>7299</v>
      </c>
      <c r="B215" t="inlineStr">
        <is>
          <t>BANDEJA PORTACABLES ESCALERA TIPO B 10X5</t>
        </is>
      </c>
      <c r="C215" t="inlineStr">
        <is>
          <t>Cableado</t>
        </is>
      </c>
      <c r="D215" t="inlineStr">
        <is>
          <t>General</t>
        </is>
      </c>
      <c r="E215" t="inlineStr">
        <is>
          <t>Metro</t>
        </is>
      </c>
      <c r="F215" t="inlineStr">
        <is>
          <t>Generico</t>
        </is>
      </c>
      <c r="G215" t="inlineStr">
        <is>
          <t>-</t>
        </is>
      </c>
      <c r="H215" t="inlineStr">
        <is>
          <t>-</t>
        </is>
      </c>
      <c r="I215" t="inlineStr">
        <is>
          <t>NO APLICA</t>
        </is>
      </c>
      <c r="J215" t="n">
        <v>5</v>
      </c>
      <c r="K215" t="inlineStr">
        <is>
          <t>Activo</t>
        </is>
      </c>
      <c r="L215" t="inlineStr">
        <is>
          <t>Cargue inicial oficial desde INVENTARIO.xlsx</t>
        </is>
      </c>
      <c r="M215" s="59" t="n">
        <v>46264</v>
      </c>
    </row>
    <row r="216">
      <c r="A216" t="n">
        <v>7300</v>
      </c>
      <c r="B216" t="inlineStr">
        <is>
          <t>BANDEJA PORTACABLES ESCALERA TIPO B 10X8</t>
        </is>
      </c>
      <c r="C216" t="inlineStr">
        <is>
          <t>Cableado</t>
        </is>
      </c>
      <c r="D216" t="inlineStr">
        <is>
          <t>General</t>
        </is>
      </c>
      <c r="E216" t="inlineStr">
        <is>
          <t>Metro</t>
        </is>
      </c>
      <c r="F216" t="inlineStr">
        <is>
          <t>Generico</t>
        </is>
      </c>
      <c r="G216" t="inlineStr">
        <is>
          <t>-</t>
        </is>
      </c>
      <c r="H216" t="inlineStr">
        <is>
          <t>-</t>
        </is>
      </c>
      <c r="I216" t="inlineStr">
        <is>
          <t>NO APLICA</t>
        </is>
      </c>
      <c r="J216" t="n">
        <v>5</v>
      </c>
      <c r="K216" t="inlineStr">
        <is>
          <t>Activo</t>
        </is>
      </c>
      <c r="L216" t="inlineStr">
        <is>
          <t>Cargue inicial oficial desde INVENTARIO.xlsx</t>
        </is>
      </c>
      <c r="M216" s="59" t="n">
        <v>46264</v>
      </c>
    </row>
    <row r="217">
      <c r="A217" t="n">
        <v>7309</v>
      </c>
      <c r="B217" t="inlineStr">
        <is>
          <t>BASE PERFIL SENCILLA CORTA</t>
        </is>
      </c>
      <c r="C217" t="inlineStr">
        <is>
          <t>Materiales</t>
        </is>
      </c>
      <c r="D217" t="inlineStr">
        <is>
          <t>General</t>
        </is>
      </c>
      <c r="E217" t="inlineStr">
        <is>
          <t>Metro</t>
        </is>
      </c>
      <c r="F217" t="inlineStr">
        <is>
          <t>Generico</t>
        </is>
      </c>
      <c r="G217" t="inlineStr">
        <is>
          <t>-</t>
        </is>
      </c>
      <c r="H217" t="inlineStr">
        <is>
          <t>-</t>
        </is>
      </c>
      <c r="I217" t="inlineStr">
        <is>
          <t>NO APLICA</t>
        </is>
      </c>
      <c r="J217" t="n">
        <v>5</v>
      </c>
      <c r="K217" t="inlineStr">
        <is>
          <t>Activo</t>
        </is>
      </c>
      <c r="L217" t="inlineStr">
        <is>
          <t>Cargue inicial oficial desde INVENTARIO.xlsx</t>
        </is>
      </c>
      <c r="M217" s="59" t="n">
        <v>46264</v>
      </c>
    </row>
    <row r="218">
      <c r="A218" t="n">
        <v>7310</v>
      </c>
      <c r="B218" t="inlineStr">
        <is>
          <t>BASE PERFIL SENCILLA LARGA</t>
        </is>
      </c>
      <c r="C218" t="inlineStr">
        <is>
          <t>Materiales</t>
        </is>
      </c>
      <c r="D218" t="inlineStr">
        <is>
          <t>General</t>
        </is>
      </c>
      <c r="E218" t="inlineStr">
        <is>
          <t>Metro</t>
        </is>
      </c>
      <c r="F218" t="inlineStr">
        <is>
          <t>Generico</t>
        </is>
      </c>
      <c r="G218" t="inlineStr">
        <is>
          <t>-</t>
        </is>
      </c>
      <c r="H218" t="inlineStr">
        <is>
          <t>-</t>
        </is>
      </c>
      <c r="I218" t="inlineStr">
        <is>
          <t>NO APLICA</t>
        </is>
      </c>
      <c r="J218" t="n">
        <v>5</v>
      </c>
      <c r="K218" t="inlineStr">
        <is>
          <t>Activo</t>
        </is>
      </c>
      <c r="L218" t="inlineStr">
        <is>
          <t>Cargue inicial oficial desde INVENTARIO.xlsx</t>
        </is>
      </c>
      <c r="M218" s="59" t="n">
        <v>46264</v>
      </c>
    </row>
    <row r="219">
      <c r="A219" t="n">
        <v>7316</v>
      </c>
      <c r="B219" t="inlineStr">
        <is>
          <t>CONECTOR PERFIL PERPENDICULAR 4X4 (OMEGA) GALVANIZADO EN CALIENTE</t>
        </is>
      </c>
      <c r="C219" t="inlineStr">
        <is>
          <t>Materiales</t>
        </is>
      </c>
      <c r="D219" t="inlineStr">
        <is>
          <t>General</t>
        </is>
      </c>
      <c r="E219" t="inlineStr">
        <is>
          <t>Metro</t>
        </is>
      </c>
      <c r="F219" t="inlineStr">
        <is>
          <t>Generico</t>
        </is>
      </c>
      <c r="G219" t="inlineStr">
        <is>
          <t>-</t>
        </is>
      </c>
      <c r="H219" t="inlineStr">
        <is>
          <t>-</t>
        </is>
      </c>
      <c r="I219" t="inlineStr">
        <is>
          <t>NO APLICA</t>
        </is>
      </c>
      <c r="J219" t="n">
        <v>5</v>
      </c>
      <c r="K219" t="inlineStr">
        <is>
          <t>Activo</t>
        </is>
      </c>
      <c r="L219" t="inlineStr">
        <is>
          <t>Cargue inicial oficial desde INVENTARIO.xlsx</t>
        </is>
      </c>
      <c r="M219" s="59" t="n">
        <v>46264</v>
      </c>
    </row>
    <row r="220">
      <c r="A220" t="n">
        <v>7333</v>
      </c>
      <c r="B220" t="inlineStr">
        <is>
          <t>CURVA BANDEJA HORIZONTAL 90° 10X5</t>
        </is>
      </c>
      <c r="C220" t="inlineStr">
        <is>
          <t>Materiales</t>
        </is>
      </c>
      <c r="D220" t="inlineStr">
        <is>
          <t>General</t>
        </is>
      </c>
      <c r="E220" t="inlineStr">
        <is>
          <t>Unidad</t>
        </is>
      </c>
      <c r="F220" t="inlineStr">
        <is>
          <t>Generico</t>
        </is>
      </c>
      <c r="G220" t="inlineStr">
        <is>
          <t>-</t>
        </is>
      </c>
      <c r="H220" t="inlineStr">
        <is>
          <t>-</t>
        </is>
      </c>
      <c r="I220" t="inlineStr">
        <is>
          <t>NO APLICA</t>
        </is>
      </c>
      <c r="J220" t="n">
        <v>5</v>
      </c>
      <c r="K220" t="inlineStr">
        <is>
          <t>Activo</t>
        </is>
      </c>
      <c r="L220" t="inlineStr">
        <is>
          <t>Cargue inicial oficial desde INVENTARIO.xlsx</t>
        </is>
      </c>
      <c r="M220" s="59" t="n">
        <v>46264</v>
      </c>
    </row>
    <row r="221">
      <c r="A221" t="n">
        <v>7334</v>
      </c>
      <c r="B221" t="inlineStr">
        <is>
          <t>CURVA BANDEJA HORIZONTAL 90° 10X8</t>
        </is>
      </c>
      <c r="C221" t="inlineStr">
        <is>
          <t>Materiales</t>
        </is>
      </c>
      <c r="D221" t="inlineStr">
        <is>
          <t>General</t>
        </is>
      </c>
      <c r="E221" t="inlineStr">
        <is>
          <t>Unidad</t>
        </is>
      </c>
      <c r="F221" t="inlineStr">
        <is>
          <t>Generico</t>
        </is>
      </c>
      <c r="G221" t="inlineStr">
        <is>
          <t>-</t>
        </is>
      </c>
      <c r="H221" t="inlineStr">
        <is>
          <t>-</t>
        </is>
      </c>
      <c r="I221" t="inlineStr">
        <is>
          <t>NO APLICA</t>
        </is>
      </c>
      <c r="J221" t="n">
        <v>5</v>
      </c>
      <c r="K221" t="inlineStr">
        <is>
          <t>Activo</t>
        </is>
      </c>
      <c r="L221" t="inlineStr">
        <is>
          <t>Cargue inicial oficial desde INVENTARIO.xlsx</t>
        </is>
      </c>
      <c r="M221" s="59" t="n">
        <v>46264</v>
      </c>
    </row>
    <row r="222">
      <c r="A222" t="n">
        <v>7336</v>
      </c>
      <c r="B222" t="inlineStr">
        <is>
          <t>CURVA BANDEJA HORIZONTAL 90° 20X8</t>
        </is>
      </c>
      <c r="C222" t="inlineStr">
        <is>
          <t>Materiales</t>
        </is>
      </c>
      <c r="D222" t="inlineStr">
        <is>
          <t>General</t>
        </is>
      </c>
      <c r="E222" t="inlineStr">
        <is>
          <t>Unidad</t>
        </is>
      </c>
      <c r="F222" t="inlineStr">
        <is>
          <t>Generico</t>
        </is>
      </c>
      <c r="G222" t="inlineStr">
        <is>
          <t>-</t>
        </is>
      </c>
      <c r="H222" t="inlineStr">
        <is>
          <t>-</t>
        </is>
      </c>
      <c r="I222" t="inlineStr">
        <is>
          <t>NO APLICA</t>
        </is>
      </c>
      <c r="J222" t="n">
        <v>5</v>
      </c>
      <c r="K222" t="inlineStr">
        <is>
          <t>Activo</t>
        </is>
      </c>
      <c r="L222" t="inlineStr">
        <is>
          <t>Cargue inicial oficial desde INVENTARIO.xlsx</t>
        </is>
      </c>
      <c r="M222" s="59" t="n">
        <v>46264</v>
      </c>
    </row>
    <row r="223">
      <c r="A223" t="n">
        <v>7338</v>
      </c>
      <c r="B223" t="inlineStr">
        <is>
          <t>CURVA BANDEJA HORIZONTAL 90° 30X8</t>
        </is>
      </c>
      <c r="C223" t="inlineStr">
        <is>
          <t>Materiales</t>
        </is>
      </c>
      <c r="D223" t="inlineStr">
        <is>
          <t>General</t>
        </is>
      </c>
      <c r="E223" t="inlineStr">
        <is>
          <t>Unidad</t>
        </is>
      </c>
      <c r="F223" t="inlineStr">
        <is>
          <t>Generico</t>
        </is>
      </c>
      <c r="G223" t="inlineStr">
        <is>
          <t>-</t>
        </is>
      </c>
      <c r="H223" t="inlineStr">
        <is>
          <t>-</t>
        </is>
      </c>
      <c r="I223" t="inlineStr">
        <is>
          <t>NO APLICA</t>
        </is>
      </c>
      <c r="J223" t="n">
        <v>5</v>
      </c>
      <c r="K223" t="inlineStr">
        <is>
          <t>Activo</t>
        </is>
      </c>
      <c r="L223" t="inlineStr">
        <is>
          <t>Cargue inicial oficial desde INVENTARIO.xlsx</t>
        </is>
      </c>
      <c r="M223" s="59" t="n">
        <v>46264</v>
      </c>
    </row>
    <row r="224">
      <c r="A224" t="n">
        <v>7340</v>
      </c>
      <c r="B224" t="inlineStr">
        <is>
          <t>CURVA BANDEJA HORIZONTAL 90° 40X8</t>
        </is>
      </c>
      <c r="C224" t="inlineStr">
        <is>
          <t>Materiales</t>
        </is>
      </c>
      <c r="D224" t="inlineStr">
        <is>
          <t>General</t>
        </is>
      </c>
      <c r="E224" t="inlineStr">
        <is>
          <t>Unidad</t>
        </is>
      </c>
      <c r="F224" t="inlineStr">
        <is>
          <t>Generico</t>
        </is>
      </c>
      <c r="G224" t="inlineStr">
        <is>
          <t>-</t>
        </is>
      </c>
      <c r="H224" t="inlineStr">
        <is>
          <t>-</t>
        </is>
      </c>
      <c r="I224" t="inlineStr">
        <is>
          <t>NO APLICA</t>
        </is>
      </c>
      <c r="J224" t="n">
        <v>5</v>
      </c>
      <c r="K224" t="inlineStr">
        <is>
          <t>Activo</t>
        </is>
      </c>
      <c r="L224" t="inlineStr">
        <is>
          <t>Cargue inicial oficial desde INVENTARIO.xlsx</t>
        </is>
      </c>
      <c r="M224" s="59" t="n">
        <v>46264</v>
      </c>
    </row>
    <row r="225">
      <c r="A225" t="n">
        <v>7350</v>
      </c>
      <c r="B225" t="inlineStr">
        <is>
          <t>CURVA BANDEJA VERTICAL EXTERIOR 90° 10X8</t>
        </is>
      </c>
      <c r="C225" t="inlineStr">
        <is>
          <t>Materiales</t>
        </is>
      </c>
      <c r="D225" t="inlineStr">
        <is>
          <t>General</t>
        </is>
      </c>
      <c r="E225" t="inlineStr">
        <is>
          <t>Unidad</t>
        </is>
      </c>
      <c r="F225" t="inlineStr">
        <is>
          <t>Generico</t>
        </is>
      </c>
      <c r="G225" t="inlineStr">
        <is>
          <t>-</t>
        </is>
      </c>
      <c r="H225" t="inlineStr">
        <is>
          <t>-</t>
        </is>
      </c>
      <c r="I225" t="inlineStr">
        <is>
          <t>NO APLICA</t>
        </is>
      </c>
      <c r="J225" t="n">
        <v>5</v>
      </c>
      <c r="K225" t="inlineStr">
        <is>
          <t>Activo</t>
        </is>
      </c>
      <c r="L225" t="inlineStr">
        <is>
          <t>Cargue inicial oficial desde INVENTARIO.xlsx</t>
        </is>
      </c>
      <c r="M225" s="59" t="n">
        <v>46264</v>
      </c>
    </row>
    <row r="226">
      <c r="A226" t="n">
        <v>7352</v>
      </c>
      <c r="B226" t="inlineStr">
        <is>
          <t>CURVA BANDEJA VERTICAL EXTERIOR 90° 20X8</t>
        </is>
      </c>
      <c r="C226" t="inlineStr">
        <is>
          <t>Materiales</t>
        </is>
      </c>
      <c r="D226" t="inlineStr">
        <is>
          <t>General</t>
        </is>
      </c>
      <c r="E226" t="inlineStr">
        <is>
          <t>Unidad</t>
        </is>
      </c>
      <c r="F226" t="inlineStr">
        <is>
          <t>Generico</t>
        </is>
      </c>
      <c r="G226" t="inlineStr">
        <is>
          <t>-</t>
        </is>
      </c>
      <c r="H226" t="inlineStr">
        <is>
          <t>-</t>
        </is>
      </c>
      <c r="I226" t="inlineStr">
        <is>
          <t>NO APLICA</t>
        </is>
      </c>
      <c r="J226" t="n">
        <v>5</v>
      </c>
      <c r="K226" t="inlineStr">
        <is>
          <t>Activo</t>
        </is>
      </c>
      <c r="L226" t="inlineStr">
        <is>
          <t>Cargue inicial oficial desde INVENTARIO.xlsx</t>
        </is>
      </c>
      <c r="M226" s="59" t="n">
        <v>46264</v>
      </c>
    </row>
    <row r="227">
      <c r="A227" t="n">
        <v>7354</v>
      </c>
      <c r="B227" t="inlineStr">
        <is>
          <t>CURVA BANDEJA VERTICAL EXTERIOR 90° 30X8</t>
        </is>
      </c>
      <c r="C227" t="inlineStr">
        <is>
          <t>Materiales</t>
        </is>
      </c>
      <c r="D227" t="inlineStr">
        <is>
          <t>General</t>
        </is>
      </c>
      <c r="E227" t="inlineStr">
        <is>
          <t>Unidad</t>
        </is>
      </c>
      <c r="F227" t="inlineStr">
        <is>
          <t>Generico</t>
        </is>
      </c>
      <c r="G227" t="inlineStr">
        <is>
          <t>-</t>
        </is>
      </c>
      <c r="H227" t="inlineStr">
        <is>
          <t>-</t>
        </is>
      </c>
      <c r="I227" t="inlineStr">
        <is>
          <t>NO APLICA</t>
        </is>
      </c>
      <c r="J227" t="n">
        <v>5</v>
      </c>
      <c r="K227" t="inlineStr">
        <is>
          <t>Activo</t>
        </is>
      </c>
      <c r="L227" t="inlineStr">
        <is>
          <t>Cargue inicial oficial desde INVENTARIO.xlsx</t>
        </is>
      </c>
      <c r="M227" s="59" t="n">
        <v>46264</v>
      </c>
    </row>
    <row r="228">
      <c r="A228" t="n">
        <v>7356</v>
      </c>
      <c r="B228" t="inlineStr">
        <is>
          <t>CURVA BANDEJA VERTICAL EXTERIOR 90° 40X8</t>
        </is>
      </c>
      <c r="C228" t="inlineStr">
        <is>
          <t>Materiales</t>
        </is>
      </c>
      <c r="D228" t="inlineStr">
        <is>
          <t>General</t>
        </is>
      </c>
      <c r="E228" t="inlineStr">
        <is>
          <t>Unidad</t>
        </is>
      </c>
      <c r="F228" t="inlineStr">
        <is>
          <t>Generico</t>
        </is>
      </c>
      <c r="G228" t="inlineStr">
        <is>
          <t>-</t>
        </is>
      </c>
      <c r="H228" t="inlineStr">
        <is>
          <t>-</t>
        </is>
      </c>
      <c r="I228" t="inlineStr">
        <is>
          <t>NO APLICA</t>
        </is>
      </c>
      <c r="J228" t="n">
        <v>5</v>
      </c>
      <c r="K228" t="inlineStr">
        <is>
          <t>Activo</t>
        </is>
      </c>
      <c r="L228" t="inlineStr">
        <is>
          <t>Cargue inicial oficial desde INVENTARIO.xlsx</t>
        </is>
      </c>
      <c r="M228" s="59" t="n">
        <v>46264</v>
      </c>
    </row>
    <row r="229">
      <c r="A229" t="n">
        <v>7366</v>
      </c>
      <c r="B229" t="inlineStr">
        <is>
          <t>CURVA BANDEJA VERTICAL INTERIOR 90° 10X8</t>
        </is>
      </c>
      <c r="C229" t="inlineStr">
        <is>
          <t>Materiales</t>
        </is>
      </c>
      <c r="D229" t="inlineStr">
        <is>
          <t>General</t>
        </is>
      </c>
      <c r="E229" t="inlineStr">
        <is>
          <t>Unidad</t>
        </is>
      </c>
      <c r="F229" t="inlineStr">
        <is>
          <t>Generico</t>
        </is>
      </c>
      <c r="G229" t="inlineStr">
        <is>
          <t>-</t>
        </is>
      </c>
      <c r="H229" t="inlineStr">
        <is>
          <t>-</t>
        </is>
      </c>
      <c r="I229" t="inlineStr">
        <is>
          <t>NO APLICA</t>
        </is>
      </c>
      <c r="J229" t="n">
        <v>5</v>
      </c>
      <c r="K229" t="inlineStr">
        <is>
          <t>Activo</t>
        </is>
      </c>
      <c r="L229" t="inlineStr">
        <is>
          <t>Cargue inicial oficial desde INVENTARIO.xlsx</t>
        </is>
      </c>
      <c r="M229" s="59" t="n">
        <v>46264</v>
      </c>
    </row>
    <row r="230">
      <c r="A230" t="n">
        <v>7368</v>
      </c>
      <c r="B230" t="inlineStr">
        <is>
          <t>CURVA BANDEJA VERTICAL INTERIOR 90° 20X8</t>
        </is>
      </c>
      <c r="C230" t="inlineStr">
        <is>
          <t>Materiales</t>
        </is>
      </c>
      <c r="D230" t="inlineStr">
        <is>
          <t>General</t>
        </is>
      </c>
      <c r="E230" t="inlineStr">
        <is>
          <t>Unidad</t>
        </is>
      </c>
      <c r="F230" t="inlineStr">
        <is>
          <t>Generico</t>
        </is>
      </c>
      <c r="G230" t="inlineStr">
        <is>
          <t>-</t>
        </is>
      </c>
      <c r="H230" t="inlineStr">
        <is>
          <t>-</t>
        </is>
      </c>
      <c r="I230" t="inlineStr">
        <is>
          <t>NO APLICA</t>
        </is>
      </c>
      <c r="J230" t="n">
        <v>5</v>
      </c>
      <c r="K230" t="inlineStr">
        <is>
          <t>Activo</t>
        </is>
      </c>
      <c r="L230" t="inlineStr">
        <is>
          <t>Cargue inicial oficial desde INVENTARIO.xlsx</t>
        </is>
      </c>
      <c r="M230" s="59" t="n">
        <v>46264</v>
      </c>
    </row>
    <row r="231">
      <c r="A231" t="n">
        <v>7370</v>
      </c>
      <c r="B231" t="inlineStr">
        <is>
          <t>CURVA BANDEJA VERTICAL INTERIOR 90° 30X8</t>
        </is>
      </c>
      <c r="C231" t="inlineStr">
        <is>
          <t>Materiales</t>
        </is>
      </c>
      <c r="D231" t="inlineStr">
        <is>
          <t>General</t>
        </is>
      </c>
      <c r="E231" t="inlineStr">
        <is>
          <t>Unidad</t>
        </is>
      </c>
      <c r="F231" t="inlineStr">
        <is>
          <t>Generico</t>
        </is>
      </c>
      <c r="G231" t="inlineStr">
        <is>
          <t>-</t>
        </is>
      </c>
      <c r="H231" t="inlineStr">
        <is>
          <t>-</t>
        </is>
      </c>
      <c r="I231" t="inlineStr">
        <is>
          <t>NO APLICA</t>
        </is>
      </c>
      <c r="J231" t="n">
        <v>5</v>
      </c>
      <c r="K231" t="inlineStr">
        <is>
          <t>Activo</t>
        </is>
      </c>
      <c r="L231" t="inlineStr">
        <is>
          <t>Cargue inicial oficial desde INVENTARIO.xlsx</t>
        </is>
      </c>
      <c r="M231" s="59" t="n">
        <v>46264</v>
      </c>
    </row>
    <row r="232">
      <c r="A232" t="n">
        <v>7372</v>
      </c>
      <c r="B232" t="inlineStr">
        <is>
          <t>CURVA BANDEJA VERTICAL INTERIOR 90° 40X8</t>
        </is>
      </c>
      <c r="C232" t="inlineStr">
        <is>
          <t>Materiales</t>
        </is>
      </c>
      <c r="D232" t="inlineStr">
        <is>
          <t>General</t>
        </is>
      </c>
      <c r="E232" t="inlineStr">
        <is>
          <t>Unidad</t>
        </is>
      </c>
      <c r="F232" t="inlineStr">
        <is>
          <t>Generico</t>
        </is>
      </c>
      <c r="G232" t="inlineStr">
        <is>
          <t>-</t>
        </is>
      </c>
      <c r="H232" t="inlineStr">
        <is>
          <t>-</t>
        </is>
      </c>
      <c r="I232" t="inlineStr">
        <is>
          <t>NO APLICA</t>
        </is>
      </c>
      <c r="J232" t="n">
        <v>5</v>
      </c>
      <c r="K232" t="inlineStr">
        <is>
          <t>Activo</t>
        </is>
      </c>
      <c r="L232" t="inlineStr">
        <is>
          <t>Cargue inicial oficial desde INVENTARIO.xlsx</t>
        </is>
      </c>
      <c r="M232" s="59" t="n">
        <v>46264</v>
      </c>
    </row>
    <row r="233">
      <c r="A233" t="n">
        <v>7376</v>
      </c>
      <c r="B233" t="inlineStr">
        <is>
          <t>MENSULA CANAL SENCILLO 15CM</t>
        </is>
      </c>
      <c r="C233" t="inlineStr">
        <is>
          <t>Materiales</t>
        </is>
      </c>
      <c r="D233" t="inlineStr">
        <is>
          <t>General</t>
        </is>
      </c>
      <c r="E233" t="inlineStr">
        <is>
          <t>Unidad</t>
        </is>
      </c>
      <c r="F233" t="inlineStr">
        <is>
          <t>Generico</t>
        </is>
      </c>
      <c r="G233" t="inlineStr">
        <is>
          <t>-</t>
        </is>
      </c>
      <c r="H233" t="inlineStr">
        <is>
          <t>-</t>
        </is>
      </c>
      <c r="I233" t="inlineStr">
        <is>
          <t>NO APLICA</t>
        </is>
      </c>
      <c r="J233" t="n">
        <v>5</v>
      </c>
      <c r="K233" t="inlineStr">
        <is>
          <t>Activo</t>
        </is>
      </c>
      <c r="L233" t="inlineStr">
        <is>
          <t>Cargue inicial oficial desde INVENTARIO.xlsx</t>
        </is>
      </c>
      <c r="M233" s="59" t="n">
        <v>46264</v>
      </c>
    </row>
    <row r="234">
      <c r="A234" t="n">
        <v>7377</v>
      </c>
      <c r="B234" t="inlineStr">
        <is>
          <t>MENSULA CANAL SENCILLO 20CM</t>
        </is>
      </c>
      <c r="C234" t="inlineStr">
        <is>
          <t>Materiales</t>
        </is>
      </c>
      <c r="D234" t="inlineStr">
        <is>
          <t>General</t>
        </is>
      </c>
      <c r="E234" t="inlineStr">
        <is>
          <t>Unidad</t>
        </is>
      </c>
      <c r="F234" t="inlineStr">
        <is>
          <t>Generico</t>
        </is>
      </c>
      <c r="G234" t="inlineStr">
        <is>
          <t>-</t>
        </is>
      </c>
      <c r="H234" t="inlineStr">
        <is>
          <t>-</t>
        </is>
      </c>
      <c r="I234" t="inlineStr">
        <is>
          <t>NO APLICA</t>
        </is>
      </c>
      <c r="J234" t="n">
        <v>5</v>
      </c>
      <c r="K234" t="inlineStr">
        <is>
          <t>Activo</t>
        </is>
      </c>
      <c r="L234" t="inlineStr">
        <is>
          <t>Cargue inicial oficial desde INVENTARIO.xlsx</t>
        </is>
      </c>
      <c r="M234" s="59" t="n">
        <v>46264</v>
      </c>
    </row>
    <row r="235">
      <c r="A235" t="n">
        <v>7379</v>
      </c>
      <c r="B235" t="inlineStr">
        <is>
          <t>MENSULA CANAL SENCILLO 30CM</t>
        </is>
      </c>
      <c r="C235" t="inlineStr">
        <is>
          <t>Materiales</t>
        </is>
      </c>
      <c r="D235" t="inlineStr">
        <is>
          <t>General</t>
        </is>
      </c>
      <c r="E235" t="inlineStr">
        <is>
          <t>Unidad</t>
        </is>
      </c>
      <c r="F235" t="inlineStr">
        <is>
          <t>Generico</t>
        </is>
      </c>
      <c r="G235" t="inlineStr">
        <is>
          <t>-</t>
        </is>
      </c>
      <c r="H235" t="inlineStr">
        <is>
          <t>-</t>
        </is>
      </c>
      <c r="I235" t="inlineStr">
        <is>
          <t>NO APLICA</t>
        </is>
      </c>
      <c r="J235" t="n">
        <v>5</v>
      </c>
      <c r="K235" t="inlineStr">
        <is>
          <t>Activo</t>
        </is>
      </c>
      <c r="L235" t="inlineStr">
        <is>
          <t>Cargue inicial oficial desde INVENTARIO.xlsx</t>
        </is>
      </c>
      <c r="M235" s="59" t="n">
        <v>46264</v>
      </c>
    </row>
    <row r="236">
      <c r="A236" t="n">
        <v>7383</v>
      </c>
      <c r="B236" t="inlineStr">
        <is>
          <t>MENSULA CANAL SENCILLO 50CM</t>
        </is>
      </c>
      <c r="C236" t="inlineStr">
        <is>
          <t>Materiales</t>
        </is>
      </c>
      <c r="D236" t="inlineStr">
        <is>
          <t>General</t>
        </is>
      </c>
      <c r="E236" t="inlineStr">
        <is>
          <t>Unidad</t>
        </is>
      </c>
      <c r="F236" t="inlineStr">
        <is>
          <t>Generico</t>
        </is>
      </c>
      <c r="G236" t="inlineStr">
        <is>
          <t>-</t>
        </is>
      </c>
      <c r="H236" t="inlineStr">
        <is>
          <t>-</t>
        </is>
      </c>
      <c r="I236" t="inlineStr">
        <is>
          <t>NO APLICA</t>
        </is>
      </c>
      <c r="J236" t="n">
        <v>5</v>
      </c>
      <c r="K236" t="inlineStr">
        <is>
          <t>Activo</t>
        </is>
      </c>
      <c r="L236" t="inlineStr">
        <is>
          <t>Cargue inicial oficial desde INVENTARIO.xlsx</t>
        </is>
      </c>
      <c r="M236" s="59" t="n">
        <v>46264</v>
      </c>
    </row>
    <row r="237">
      <c r="A237" t="n">
        <v>7384</v>
      </c>
      <c r="B237" t="inlineStr">
        <is>
          <t>PLATINA EN ELE CUATRO PERFORACIONES GALVANIZADA EN CALIENTE</t>
        </is>
      </c>
      <c r="C237" t="inlineStr">
        <is>
          <t>Materiales</t>
        </is>
      </c>
      <c r="D237" t="inlineStr">
        <is>
          <t>General</t>
        </is>
      </c>
      <c r="E237" t="inlineStr">
        <is>
          <t>Unidad</t>
        </is>
      </c>
      <c r="F237" t="inlineStr">
        <is>
          <t>Generico</t>
        </is>
      </c>
      <c r="G237" t="inlineStr">
        <is>
          <t>-</t>
        </is>
      </c>
      <c r="H237" t="inlineStr">
        <is>
          <t>-</t>
        </is>
      </c>
      <c r="I237" t="inlineStr">
        <is>
          <t>NO APLICA</t>
        </is>
      </c>
      <c r="J237" t="n">
        <v>5</v>
      </c>
      <c r="K237" t="inlineStr">
        <is>
          <t>Activo</t>
        </is>
      </c>
      <c r="L237" t="inlineStr">
        <is>
          <t>Cargue inicial oficial desde INVENTARIO.xlsx</t>
        </is>
      </c>
      <c r="M237" s="59" t="n">
        <v>46264</v>
      </c>
    </row>
    <row r="238">
      <c r="A238" t="n">
        <v>7385</v>
      </c>
      <c r="B238" t="inlineStr">
        <is>
          <t>PLATINA EN ELE DOS PERFORACIONES GALVANIZADA EN CALIENTE</t>
        </is>
      </c>
      <c r="C238" t="inlineStr">
        <is>
          <t>Materiales</t>
        </is>
      </c>
      <c r="D238" t="inlineStr">
        <is>
          <t>General</t>
        </is>
      </c>
      <c r="E238" t="inlineStr">
        <is>
          <t>Unidad</t>
        </is>
      </c>
      <c r="F238" t="inlineStr">
        <is>
          <t>Generico</t>
        </is>
      </c>
      <c r="G238" t="inlineStr">
        <is>
          <t>-</t>
        </is>
      </c>
      <c r="H238" t="inlineStr">
        <is>
          <t>-</t>
        </is>
      </c>
      <c r="I238" t="inlineStr">
        <is>
          <t>NO APLICA</t>
        </is>
      </c>
      <c r="J238" t="n">
        <v>5</v>
      </c>
      <c r="K238" t="inlineStr">
        <is>
          <t>Activo</t>
        </is>
      </c>
      <c r="L238" t="inlineStr">
        <is>
          <t>Cargue inicial oficial desde INVENTARIO.xlsx</t>
        </is>
      </c>
      <c r="M238" s="59" t="n">
        <v>46264</v>
      </c>
    </row>
    <row r="239">
      <c r="A239" t="n">
        <v>7386</v>
      </c>
      <c r="B239" t="inlineStr">
        <is>
          <t>PLATINA RECTA CUATRO PERFORACIONES GALVANIZADA EN CALIENTE</t>
        </is>
      </c>
      <c r="C239" t="inlineStr">
        <is>
          <t>Materiales</t>
        </is>
      </c>
      <c r="D239" t="inlineStr">
        <is>
          <t>General</t>
        </is>
      </c>
      <c r="E239" t="inlineStr">
        <is>
          <t>Unidad</t>
        </is>
      </c>
      <c r="F239" t="inlineStr">
        <is>
          <t>Generico</t>
        </is>
      </c>
      <c r="G239" t="inlineStr">
        <is>
          <t>-</t>
        </is>
      </c>
      <c r="H239" t="inlineStr">
        <is>
          <t>-</t>
        </is>
      </c>
      <c r="I239" t="inlineStr">
        <is>
          <t>NO APLICA</t>
        </is>
      </c>
      <c r="J239" t="n">
        <v>5</v>
      </c>
      <c r="K239" t="inlineStr">
        <is>
          <t>Activo</t>
        </is>
      </c>
      <c r="L239" t="inlineStr">
        <is>
          <t>Cargue inicial oficial desde INVENTARIO.xlsx</t>
        </is>
      </c>
      <c r="M239" s="59" t="n">
        <v>46264</v>
      </c>
    </row>
    <row r="240">
      <c r="A240" t="n">
        <v>7388</v>
      </c>
      <c r="B240" t="inlineStr">
        <is>
          <t>PLATINA UNION BANDEJA GALVANIZADA EN CALIENTE</t>
        </is>
      </c>
      <c r="C240" t="inlineStr">
        <is>
          <t>Materiales</t>
        </is>
      </c>
      <c r="D240" t="inlineStr">
        <is>
          <t>General</t>
        </is>
      </c>
      <c r="E240" t="inlineStr">
        <is>
          <t>Unidad</t>
        </is>
      </c>
      <c r="F240" t="inlineStr">
        <is>
          <t>Generico</t>
        </is>
      </c>
      <c r="G240" t="inlineStr">
        <is>
          <t>-</t>
        </is>
      </c>
      <c r="H240" t="inlineStr">
        <is>
          <t>-</t>
        </is>
      </c>
      <c r="I240" t="inlineStr">
        <is>
          <t>NO APLICA</t>
        </is>
      </c>
      <c r="J240" t="n">
        <v>5</v>
      </c>
      <c r="K240" t="inlineStr">
        <is>
          <t>Activo</t>
        </is>
      </c>
      <c r="L240" t="inlineStr">
        <is>
          <t>Cargue inicial oficial desde INVENTARIO.xlsx</t>
        </is>
      </c>
      <c r="M240" s="59" t="n">
        <v>46264</v>
      </c>
    </row>
    <row r="241">
      <c r="A241" t="n">
        <v>7403</v>
      </c>
      <c r="B241" t="inlineStr">
        <is>
          <t>REDUCCION BANDEJA SIMETRICA 30-20X8</t>
        </is>
      </c>
      <c r="C241" t="inlineStr">
        <is>
          <t>Materiales</t>
        </is>
      </c>
      <c r="D241" t="inlineStr">
        <is>
          <t>General</t>
        </is>
      </c>
      <c r="E241" t="inlineStr">
        <is>
          <t>Unidad</t>
        </is>
      </c>
      <c r="F241" t="inlineStr">
        <is>
          <t>Generico</t>
        </is>
      </c>
      <c r="G241" t="inlineStr">
        <is>
          <t>-</t>
        </is>
      </c>
      <c r="H241" t="inlineStr">
        <is>
          <t>-</t>
        </is>
      </c>
      <c r="I241" t="inlineStr">
        <is>
          <t>NO APLICA</t>
        </is>
      </c>
      <c r="J241" t="n">
        <v>5</v>
      </c>
      <c r="K241" t="inlineStr">
        <is>
          <t>Activo</t>
        </is>
      </c>
      <c r="L241" t="inlineStr">
        <is>
          <t>Cargue inicial oficial desde INVENTARIO.xlsx</t>
        </is>
      </c>
      <c r="M241" s="59" t="n">
        <v>46264</v>
      </c>
    </row>
    <row r="242">
      <c r="A242" t="n">
        <v>7405</v>
      </c>
      <c r="B242" t="inlineStr">
        <is>
          <t>REDUCCION BANDEJA SIMETRICA 40-30X8</t>
        </is>
      </c>
      <c r="C242" t="inlineStr">
        <is>
          <t>Materiales</t>
        </is>
      </c>
      <c r="D242" t="inlineStr">
        <is>
          <t>General</t>
        </is>
      </c>
      <c r="E242" t="inlineStr">
        <is>
          <t>Unidad</t>
        </is>
      </c>
      <c r="F242" t="inlineStr">
        <is>
          <t>Generico</t>
        </is>
      </c>
      <c r="G242" t="inlineStr">
        <is>
          <t>-</t>
        </is>
      </c>
      <c r="H242" t="inlineStr">
        <is>
          <t>-</t>
        </is>
      </c>
      <c r="I242" t="inlineStr">
        <is>
          <t>NO APLICA</t>
        </is>
      </c>
      <c r="J242" t="n">
        <v>5</v>
      </c>
      <c r="K242" t="inlineStr">
        <is>
          <t>Activo</t>
        </is>
      </c>
      <c r="L242" t="inlineStr">
        <is>
          <t>Cargue inicial oficial desde INVENTARIO.xlsx</t>
        </is>
      </c>
      <c r="M242" s="59" t="n">
        <v>46264</v>
      </c>
    </row>
    <row r="243">
      <c r="A243" t="n">
        <v>7408</v>
      </c>
      <c r="B243" t="inlineStr">
        <is>
          <t>RIEL RANURADO 4X2 GALVANIZADO EN CALIENTE</t>
        </is>
      </c>
      <c r="C243" t="inlineStr">
        <is>
          <t>Materiales</t>
        </is>
      </c>
      <c r="D243" t="inlineStr">
        <is>
          <t>General</t>
        </is>
      </c>
      <c r="E243" t="inlineStr">
        <is>
          <t>Unidad</t>
        </is>
      </c>
      <c r="F243" t="inlineStr">
        <is>
          <t>Generico</t>
        </is>
      </c>
      <c r="G243" t="inlineStr">
        <is>
          <t>-</t>
        </is>
      </c>
      <c r="H243" t="inlineStr">
        <is>
          <t>-</t>
        </is>
      </c>
      <c r="I243" t="inlineStr">
        <is>
          <t>NO APLICA</t>
        </is>
      </c>
      <c r="J243" t="n">
        <v>5</v>
      </c>
      <c r="K243" t="inlineStr">
        <is>
          <t>Activo</t>
        </is>
      </c>
      <c r="L243" t="inlineStr">
        <is>
          <t>Cargue inicial oficial desde INVENTARIO.xlsx</t>
        </is>
      </c>
      <c r="M243" s="59" t="n">
        <v>46264</v>
      </c>
    </row>
    <row r="244">
      <c r="A244" t="n">
        <v>7409</v>
      </c>
      <c r="B244" t="inlineStr">
        <is>
          <t>RIEL RANURADO 4X4 GALVANIZADO EN CALIENTE</t>
        </is>
      </c>
      <c r="C244" t="inlineStr">
        <is>
          <t>Materiales</t>
        </is>
      </c>
      <c r="D244" t="inlineStr">
        <is>
          <t>General</t>
        </is>
      </c>
      <c r="E244" t="inlineStr">
        <is>
          <t>Unidad</t>
        </is>
      </c>
      <c r="F244" t="inlineStr">
        <is>
          <t>Generico</t>
        </is>
      </c>
      <c r="G244" t="inlineStr">
        <is>
          <t>-</t>
        </is>
      </c>
      <c r="H244" t="inlineStr">
        <is>
          <t>-</t>
        </is>
      </c>
      <c r="I244" t="inlineStr">
        <is>
          <t>NO APLICA</t>
        </is>
      </c>
      <c r="J244" t="n">
        <v>5</v>
      </c>
      <c r="K244" t="inlineStr">
        <is>
          <t>Activo</t>
        </is>
      </c>
      <c r="L244" t="inlineStr">
        <is>
          <t>Cargue inicial oficial desde INVENTARIO.xlsx</t>
        </is>
      </c>
      <c r="M244" s="59" t="n">
        <v>46264</v>
      </c>
    </row>
    <row r="245">
      <c r="A245" t="n">
        <v>7415</v>
      </c>
      <c r="B245" t="inlineStr">
        <is>
          <t>TAPA SUPERIOR BANDEJA ESCALERA 10 POLIESTER</t>
        </is>
      </c>
      <c r="C245" t="inlineStr">
        <is>
          <t>Materiales</t>
        </is>
      </c>
      <c r="D245" t="inlineStr">
        <is>
          <t>General</t>
        </is>
      </c>
      <c r="E245" t="inlineStr">
        <is>
          <t>Unidad</t>
        </is>
      </c>
      <c r="F245" t="inlineStr">
        <is>
          <t>Generico</t>
        </is>
      </c>
      <c r="G245" t="inlineStr">
        <is>
          <t>-</t>
        </is>
      </c>
      <c r="H245" t="inlineStr">
        <is>
          <t>-</t>
        </is>
      </c>
      <c r="I245" t="inlineStr">
        <is>
          <t>NO APLICA</t>
        </is>
      </c>
      <c r="J245" t="n">
        <v>5</v>
      </c>
      <c r="K245" t="inlineStr">
        <is>
          <t>Activo</t>
        </is>
      </c>
      <c r="L245" t="inlineStr">
        <is>
          <t>Cargue inicial oficial desde INVENTARIO.xlsx</t>
        </is>
      </c>
      <c r="M245" s="59" t="n">
        <v>46264</v>
      </c>
    </row>
    <row r="246">
      <c r="A246" t="n">
        <v>7439</v>
      </c>
      <c r="B246" t="inlineStr">
        <is>
          <t>TAPA SUPERIOR CURVA BANDEJA HORIZONTAL 90° 10 POLIESTER</t>
        </is>
      </c>
      <c r="C246" t="inlineStr">
        <is>
          <t>Materiales</t>
        </is>
      </c>
      <c r="D246" t="inlineStr">
        <is>
          <t>General</t>
        </is>
      </c>
      <c r="E246" t="inlineStr">
        <is>
          <t>Unidad</t>
        </is>
      </c>
      <c r="F246" t="inlineStr">
        <is>
          <t>Generico</t>
        </is>
      </c>
      <c r="G246" t="inlineStr">
        <is>
          <t>-</t>
        </is>
      </c>
      <c r="H246" t="inlineStr">
        <is>
          <t>-</t>
        </is>
      </c>
      <c r="I246" t="inlineStr">
        <is>
          <t>NO APLICA</t>
        </is>
      </c>
      <c r="J246" t="n">
        <v>5</v>
      </c>
      <c r="K246" t="inlineStr">
        <is>
          <t>Activo</t>
        </is>
      </c>
      <c r="L246" t="inlineStr">
        <is>
          <t>Cargue inicial oficial desde INVENTARIO.xlsx</t>
        </is>
      </c>
      <c r="M246" s="59" t="n">
        <v>46264</v>
      </c>
    </row>
    <row r="247">
      <c r="A247" t="n">
        <v>7441</v>
      </c>
      <c r="B247" t="inlineStr">
        <is>
          <t>TAPA SUPERIOR CURVA BANDEJA HORIZONTAL 90° 20 POLIESTER</t>
        </is>
      </c>
      <c r="C247" t="inlineStr">
        <is>
          <t>Materiales</t>
        </is>
      </c>
      <c r="D247" t="inlineStr">
        <is>
          <t>General</t>
        </is>
      </c>
      <c r="E247" t="inlineStr">
        <is>
          <t>Unidad</t>
        </is>
      </c>
      <c r="F247" t="inlineStr">
        <is>
          <t>Generico</t>
        </is>
      </c>
      <c r="G247" t="inlineStr">
        <is>
          <t>-</t>
        </is>
      </c>
      <c r="H247" t="inlineStr">
        <is>
          <t>-</t>
        </is>
      </c>
      <c r="I247" t="inlineStr">
        <is>
          <t>NO APLICA</t>
        </is>
      </c>
      <c r="J247" t="n">
        <v>5</v>
      </c>
      <c r="K247" t="inlineStr">
        <is>
          <t>Activo</t>
        </is>
      </c>
      <c r="L247" t="inlineStr">
        <is>
          <t>Cargue inicial oficial desde INVENTARIO.xlsx</t>
        </is>
      </c>
      <c r="M247" s="59" t="n">
        <v>46264</v>
      </c>
    </row>
    <row r="248">
      <c r="A248" t="n">
        <v>7443</v>
      </c>
      <c r="B248" t="inlineStr">
        <is>
          <t>TAPA SUPERIOR CURVA BANDEJA HORIZONTAL 90° 30 POLIESTER</t>
        </is>
      </c>
      <c r="C248" t="inlineStr">
        <is>
          <t>Materiales</t>
        </is>
      </c>
      <c r="D248" t="inlineStr">
        <is>
          <t>General</t>
        </is>
      </c>
      <c r="E248" t="inlineStr">
        <is>
          <t>Unidad</t>
        </is>
      </c>
      <c r="F248" t="inlineStr">
        <is>
          <t>Generico</t>
        </is>
      </c>
      <c r="G248" t="inlineStr">
        <is>
          <t>-</t>
        </is>
      </c>
      <c r="H248" t="inlineStr">
        <is>
          <t>-</t>
        </is>
      </c>
      <c r="I248" t="inlineStr">
        <is>
          <t>NO APLICA</t>
        </is>
      </c>
      <c r="J248" t="n">
        <v>5</v>
      </c>
      <c r="K248" t="inlineStr">
        <is>
          <t>Activo</t>
        </is>
      </c>
      <c r="L248" t="inlineStr">
        <is>
          <t>Cargue inicial oficial desde INVENTARIO.xlsx</t>
        </is>
      </c>
      <c r="M248" s="59" t="n">
        <v>46264</v>
      </c>
    </row>
    <row r="249">
      <c r="A249" t="n">
        <v>7445</v>
      </c>
      <c r="B249" t="inlineStr">
        <is>
          <t>TAPA SUPERIOR CURVA BANDEJA HORIZONTAL 90° 40 POLIESTER</t>
        </is>
      </c>
      <c r="C249" t="inlineStr">
        <is>
          <t>Materiales</t>
        </is>
      </c>
      <c r="D249" t="inlineStr">
        <is>
          <t>General</t>
        </is>
      </c>
      <c r="E249" t="inlineStr">
        <is>
          <t>Unidad</t>
        </is>
      </c>
      <c r="F249" t="inlineStr">
        <is>
          <t>Generico</t>
        </is>
      </c>
      <c r="G249" t="inlineStr">
        <is>
          <t>-</t>
        </is>
      </c>
      <c r="H249" t="inlineStr">
        <is>
          <t>-</t>
        </is>
      </c>
      <c r="I249" t="inlineStr">
        <is>
          <t>NO APLICA</t>
        </is>
      </c>
      <c r="J249" t="n">
        <v>5</v>
      </c>
      <c r="K249" t="inlineStr">
        <is>
          <t>Activo</t>
        </is>
      </c>
      <c r="L249" t="inlineStr">
        <is>
          <t>Cargue inicial oficial desde INVENTARIO.xlsx</t>
        </is>
      </c>
      <c r="M249" s="59" t="n">
        <v>46264</v>
      </c>
    </row>
    <row r="250">
      <c r="A250" t="n">
        <v>7455</v>
      </c>
      <c r="B250" t="inlineStr">
        <is>
          <t>TAPA SUPERIOR CURVA BANDEJA VERTICAL EXTERIOR 90° 10 POLIESTER</t>
        </is>
      </c>
      <c r="C250" t="inlineStr">
        <is>
          <t>Materiales</t>
        </is>
      </c>
      <c r="D250" t="inlineStr">
        <is>
          <t>General</t>
        </is>
      </c>
      <c r="E250" t="inlineStr">
        <is>
          <t>Unidad</t>
        </is>
      </c>
      <c r="F250" t="inlineStr">
        <is>
          <t>Generico</t>
        </is>
      </c>
      <c r="G250" t="inlineStr">
        <is>
          <t>-</t>
        </is>
      </c>
      <c r="H250" t="inlineStr">
        <is>
          <t>-</t>
        </is>
      </c>
      <c r="I250" t="inlineStr">
        <is>
          <t>NO APLICA</t>
        </is>
      </c>
      <c r="J250" t="n">
        <v>5</v>
      </c>
      <c r="K250" t="inlineStr">
        <is>
          <t>Activo</t>
        </is>
      </c>
      <c r="L250" t="inlineStr">
        <is>
          <t>Cargue inicial oficial desde INVENTARIO.xlsx</t>
        </is>
      </c>
      <c r="M250" s="59" t="n">
        <v>46264</v>
      </c>
    </row>
    <row r="251">
      <c r="A251" t="n">
        <v>7457</v>
      </c>
      <c r="B251" t="inlineStr">
        <is>
          <t>TAPA SUPERIOR CURVA BANDEJA VERTICAL EXTERIOR 90° 20 POLIESTER</t>
        </is>
      </c>
      <c r="C251" t="inlineStr">
        <is>
          <t>Materiales</t>
        </is>
      </c>
      <c r="D251" t="inlineStr">
        <is>
          <t>General</t>
        </is>
      </c>
      <c r="E251" t="inlineStr">
        <is>
          <t>Unidad</t>
        </is>
      </c>
      <c r="F251" t="inlineStr">
        <is>
          <t>Generico</t>
        </is>
      </c>
      <c r="G251" t="inlineStr">
        <is>
          <t>-</t>
        </is>
      </c>
      <c r="H251" t="inlineStr">
        <is>
          <t>-</t>
        </is>
      </c>
      <c r="I251" t="inlineStr">
        <is>
          <t>NO APLICA</t>
        </is>
      </c>
      <c r="J251" t="n">
        <v>5</v>
      </c>
      <c r="K251" t="inlineStr">
        <is>
          <t>Activo</t>
        </is>
      </c>
      <c r="L251" t="inlineStr">
        <is>
          <t>Cargue inicial oficial desde INVENTARIO.xlsx</t>
        </is>
      </c>
      <c r="M251" s="59" t="n">
        <v>46264</v>
      </c>
    </row>
    <row r="252">
      <c r="A252" t="n">
        <v>7461</v>
      </c>
      <c r="B252" t="inlineStr">
        <is>
          <t>TAPA SUPERIOR CURVA BANDEJA VERTICAL EXTERIOR 90° 40 POLIESTER</t>
        </is>
      </c>
      <c r="C252" t="inlineStr">
        <is>
          <t>Materiales</t>
        </is>
      </c>
      <c r="D252" t="inlineStr">
        <is>
          <t>General</t>
        </is>
      </c>
      <c r="E252" t="inlineStr">
        <is>
          <t>Unidad</t>
        </is>
      </c>
      <c r="F252" t="inlineStr">
        <is>
          <t>Generico</t>
        </is>
      </c>
      <c r="G252" t="inlineStr">
        <is>
          <t>-</t>
        </is>
      </c>
      <c r="H252" t="inlineStr">
        <is>
          <t>-</t>
        </is>
      </c>
      <c r="I252" t="inlineStr">
        <is>
          <t>NO APLICA</t>
        </is>
      </c>
      <c r="J252" t="n">
        <v>5</v>
      </c>
      <c r="K252" t="inlineStr">
        <is>
          <t>Activo</t>
        </is>
      </c>
      <c r="L252" t="inlineStr">
        <is>
          <t>Cargue inicial oficial desde INVENTARIO.xlsx</t>
        </is>
      </c>
      <c r="M252" s="59" t="n">
        <v>46264</v>
      </c>
    </row>
    <row r="253">
      <c r="A253" t="n">
        <v>7471</v>
      </c>
      <c r="B253" t="inlineStr">
        <is>
          <t>TAPA SUPERIOR CURVA BANDEJA VERTICAL INTERIOR 90° 10 POLIESTER</t>
        </is>
      </c>
      <c r="C253" t="inlineStr">
        <is>
          <t>Materiales</t>
        </is>
      </c>
      <c r="D253" t="inlineStr">
        <is>
          <t>General</t>
        </is>
      </c>
      <c r="E253" t="inlineStr">
        <is>
          <t>Unidad</t>
        </is>
      </c>
      <c r="F253" t="inlineStr">
        <is>
          <t>Generico</t>
        </is>
      </c>
      <c r="G253" t="inlineStr">
        <is>
          <t>-</t>
        </is>
      </c>
      <c r="H253" t="inlineStr">
        <is>
          <t>-</t>
        </is>
      </c>
      <c r="I253" t="inlineStr">
        <is>
          <t>NO APLICA</t>
        </is>
      </c>
      <c r="J253" t="n">
        <v>5</v>
      </c>
      <c r="K253" t="inlineStr">
        <is>
          <t>Activo</t>
        </is>
      </c>
      <c r="L253" t="inlineStr">
        <is>
          <t>Cargue inicial oficial desde INVENTARIO.xlsx</t>
        </is>
      </c>
      <c r="M253" s="59" t="n">
        <v>46264</v>
      </c>
    </row>
    <row r="254">
      <c r="A254" t="n">
        <v>7495</v>
      </c>
      <c r="B254" t="inlineStr">
        <is>
          <t>AEROSOL ANTICORROSIVO GALVANIZADO 20 OZ RUST OLEUM</t>
        </is>
      </c>
      <c r="C254" t="inlineStr">
        <is>
          <t>Consumibles</t>
        </is>
      </c>
      <c r="D254" t="inlineStr">
        <is>
          <t>General</t>
        </is>
      </c>
      <c r="E254" t="inlineStr">
        <is>
          <t>Unidad</t>
        </is>
      </c>
      <c r="F254" t="inlineStr">
        <is>
          <t>Generico</t>
        </is>
      </c>
      <c r="G254" t="inlineStr">
        <is>
          <t>-</t>
        </is>
      </c>
      <c r="H254" t="inlineStr">
        <is>
          <t>A2</t>
        </is>
      </c>
      <c r="I254" t="inlineStr">
        <is>
          <t>NO APLICA</t>
        </is>
      </c>
      <c r="J254" t="n">
        <v>5</v>
      </c>
      <c r="K254" t="inlineStr">
        <is>
          <t>Activo</t>
        </is>
      </c>
      <c r="L254" t="inlineStr">
        <is>
          <t>Cargue inicial oficial desde INVENTARIO.xlsx</t>
        </is>
      </c>
      <c r="M254" s="59" t="n">
        <v>46264</v>
      </c>
    </row>
    <row r="255">
      <c r="A255" t="n">
        <v>7497</v>
      </c>
      <c r="B255" t="inlineStr">
        <is>
          <t>AEROSOL AZUL 12 OZ RUST OLEUM</t>
        </is>
      </c>
      <c r="C255" t="inlineStr">
        <is>
          <t>Consumibles</t>
        </is>
      </c>
      <c r="D255" t="inlineStr">
        <is>
          <t>General</t>
        </is>
      </c>
      <c r="E255" t="inlineStr">
        <is>
          <t>Unidad</t>
        </is>
      </c>
      <c r="F255" t="inlineStr">
        <is>
          <t>Generico</t>
        </is>
      </c>
      <c r="G255" t="inlineStr">
        <is>
          <t>-</t>
        </is>
      </c>
      <c r="H255" t="inlineStr">
        <is>
          <t>A2</t>
        </is>
      </c>
      <c r="I255" t="inlineStr">
        <is>
          <t>NO APLICA</t>
        </is>
      </c>
      <c r="J255" t="n">
        <v>5</v>
      </c>
      <c r="K255" t="inlineStr">
        <is>
          <t>Activo</t>
        </is>
      </c>
      <c r="L255" t="inlineStr">
        <is>
          <t>Cargue inicial oficial desde INVENTARIO.xlsx</t>
        </is>
      </c>
      <c r="M255" s="59" t="n">
        <v>46264</v>
      </c>
    </row>
    <row r="256">
      <c r="A256" t="n">
        <v>7498</v>
      </c>
      <c r="B256" t="inlineStr">
        <is>
          <t>AEROSOL DESENGRASANTE 500ML WEICON</t>
        </is>
      </c>
      <c r="C256" t="inlineStr">
        <is>
          <t>Consumibles</t>
        </is>
      </c>
      <c r="D256" t="inlineStr">
        <is>
          <t>General</t>
        </is>
      </c>
      <c r="E256" t="inlineStr">
        <is>
          <t>Unidad</t>
        </is>
      </c>
      <c r="F256" t="inlineStr">
        <is>
          <t>Generico</t>
        </is>
      </c>
      <c r="G256" t="inlineStr">
        <is>
          <t>-</t>
        </is>
      </c>
      <c r="H256" t="inlineStr">
        <is>
          <t>A2</t>
        </is>
      </c>
      <c r="I256" t="inlineStr">
        <is>
          <t>NO APLICA</t>
        </is>
      </c>
      <c r="J256" t="n">
        <v>5</v>
      </c>
      <c r="K256" t="inlineStr">
        <is>
          <t>Activo</t>
        </is>
      </c>
      <c r="L256" t="inlineStr">
        <is>
          <t>Cargue inicial oficial desde INVENTARIO.xlsx</t>
        </is>
      </c>
      <c r="M256" s="59" t="n">
        <v>46264</v>
      </c>
    </row>
    <row r="257">
      <c r="A257" t="n">
        <v>7500</v>
      </c>
      <c r="B257" t="inlineStr">
        <is>
          <t>ESPUMA EXPANSIVA SIKA</t>
        </is>
      </c>
      <c r="C257" t="inlineStr">
        <is>
          <t>Consumibles</t>
        </is>
      </c>
      <c r="D257" t="inlineStr">
        <is>
          <t>General</t>
        </is>
      </c>
      <c r="E257" t="inlineStr">
        <is>
          <t>Unidad</t>
        </is>
      </c>
      <c r="F257" t="inlineStr">
        <is>
          <t>Generico</t>
        </is>
      </c>
      <c r="G257" t="inlineStr">
        <is>
          <t>-</t>
        </is>
      </c>
      <c r="H257" t="inlineStr">
        <is>
          <t>A2</t>
        </is>
      </c>
      <c r="I257" t="inlineStr">
        <is>
          <t>APLICA</t>
        </is>
      </c>
      <c r="J257" t="n">
        <v>5</v>
      </c>
      <c r="K257" t="inlineStr">
        <is>
          <t>Activo</t>
        </is>
      </c>
      <c r="L257" t="inlineStr">
        <is>
          <t>Cargue inicial oficial desde INVENTARIO.xlsx</t>
        </is>
      </c>
      <c r="M257" s="59" t="n">
        <v>46264</v>
      </c>
    </row>
    <row r="258">
      <c r="A258" t="n">
        <v>7503</v>
      </c>
      <c r="B258" t="inlineStr">
        <is>
          <t>MANTO REAL ADHESIVO ROLLO 1MT X 10MT</t>
        </is>
      </c>
      <c r="C258" t="inlineStr">
        <is>
          <t>Materiales</t>
        </is>
      </c>
      <c r="D258" t="inlineStr">
        <is>
          <t>General</t>
        </is>
      </c>
      <c r="E258" t="inlineStr">
        <is>
          <t>Rollo</t>
        </is>
      </c>
      <c r="F258" t="inlineStr">
        <is>
          <t>Generico</t>
        </is>
      </c>
      <c r="G258" t="inlineStr">
        <is>
          <t>-</t>
        </is>
      </c>
      <c r="H258" t="inlineStr">
        <is>
          <t>-</t>
        </is>
      </c>
      <c r="I258" t="inlineStr">
        <is>
          <t>APLICA</t>
        </is>
      </c>
      <c r="J258" t="n">
        <v>5</v>
      </c>
      <c r="K258" t="inlineStr">
        <is>
          <t>Activo</t>
        </is>
      </c>
      <c r="L258" t="inlineStr">
        <is>
          <t>Cargue inicial oficial desde INVENTARIO.xlsx</t>
        </is>
      </c>
      <c r="M258" s="59" t="n">
        <v>46264</v>
      </c>
    </row>
    <row r="259">
      <c r="A259" t="n">
        <v>7508</v>
      </c>
      <c r="B259" t="inlineStr">
        <is>
          <t>SELLANTE ADHESIVO WEICON</t>
        </is>
      </c>
      <c r="C259" t="inlineStr">
        <is>
          <t>Materiales</t>
        </is>
      </c>
      <c r="D259" t="inlineStr">
        <is>
          <t>General</t>
        </is>
      </c>
      <c r="E259" t="inlineStr">
        <is>
          <t>Unidad</t>
        </is>
      </c>
      <c r="F259" t="inlineStr">
        <is>
          <t>Generico</t>
        </is>
      </c>
      <c r="G259" t="inlineStr">
        <is>
          <t>-</t>
        </is>
      </c>
      <c r="H259" t="inlineStr">
        <is>
          <t>A2</t>
        </is>
      </c>
      <c r="I259" t="inlineStr">
        <is>
          <t>APLICA</t>
        </is>
      </c>
      <c r="J259" t="n">
        <v>5</v>
      </c>
      <c r="K259" t="inlineStr">
        <is>
          <t>Activo</t>
        </is>
      </c>
      <c r="L259" t="inlineStr">
        <is>
          <t>Cargue inicial oficial desde INVENTARIO.xlsx</t>
        </is>
      </c>
      <c r="M259" s="59" t="n">
        <v>46264</v>
      </c>
    </row>
    <row r="260">
      <c r="A260" t="n">
        <v>7535</v>
      </c>
      <c r="B260" t="inlineStr">
        <is>
          <t>ABRAZADERA AJUSTABLE (UNISTRUT) GALVANIZADA CALIENTE 1 1/2"</t>
        </is>
      </c>
      <c r="C260" t="inlineStr">
        <is>
          <t>Tornilleria</t>
        </is>
      </c>
      <c r="D260" t="inlineStr">
        <is>
          <t>General</t>
        </is>
      </c>
      <c r="E260" t="inlineStr">
        <is>
          <t>Unidad</t>
        </is>
      </c>
      <c r="F260" t="inlineStr">
        <is>
          <t>Generico</t>
        </is>
      </c>
      <c r="G260" t="inlineStr">
        <is>
          <t>-</t>
        </is>
      </c>
      <c r="H260" t="inlineStr">
        <is>
          <t>A3</t>
        </is>
      </c>
      <c r="I260" t="inlineStr">
        <is>
          <t>NO APLICA</t>
        </is>
      </c>
      <c r="J260" t="n">
        <v>5</v>
      </c>
      <c r="K260" t="inlineStr">
        <is>
          <t>Activo</t>
        </is>
      </c>
      <c r="L260" t="inlineStr">
        <is>
          <t>Cargue inicial oficial desde INVENTARIO.xlsx</t>
        </is>
      </c>
      <c r="M260" s="59" t="n">
        <v>46264</v>
      </c>
    </row>
    <row r="261">
      <c r="A261" t="n">
        <v>7536</v>
      </c>
      <c r="B261" t="inlineStr">
        <is>
          <t>ABRAZADERA AJUSTABLE (UNISTRUT) GALVANIZADA CALIENTE 1 1/4"</t>
        </is>
      </c>
      <c r="C261" t="inlineStr">
        <is>
          <t>Tornilleria</t>
        </is>
      </c>
      <c r="D261" t="inlineStr">
        <is>
          <t>General</t>
        </is>
      </c>
      <c r="E261" t="inlineStr">
        <is>
          <t>Unidad</t>
        </is>
      </c>
      <c r="F261" t="inlineStr">
        <is>
          <t>Generico</t>
        </is>
      </c>
      <c r="G261" t="inlineStr">
        <is>
          <t>-</t>
        </is>
      </c>
      <c r="H261" t="inlineStr">
        <is>
          <t>A3</t>
        </is>
      </c>
      <c r="I261" t="inlineStr">
        <is>
          <t>NO APLICA</t>
        </is>
      </c>
      <c r="J261" t="n">
        <v>5</v>
      </c>
      <c r="K261" t="inlineStr">
        <is>
          <t>Activo</t>
        </is>
      </c>
      <c r="L261" t="inlineStr">
        <is>
          <t>Cargue inicial oficial desde INVENTARIO.xlsx</t>
        </is>
      </c>
      <c r="M261" s="59" t="n">
        <v>46264</v>
      </c>
    </row>
    <row r="262">
      <c r="A262" t="n">
        <v>7537</v>
      </c>
      <c r="B262" t="inlineStr">
        <is>
          <t>ABRAZADERA AJUSTABLE (UNISTRUT) GALVANIZADA CALIENTE 1"</t>
        </is>
      </c>
      <c r="C262" t="inlineStr">
        <is>
          <t>Tornilleria</t>
        </is>
      </c>
      <c r="D262" t="inlineStr">
        <is>
          <t>General</t>
        </is>
      </c>
      <c r="E262" t="inlineStr">
        <is>
          <t>Unidad</t>
        </is>
      </c>
      <c r="F262" t="inlineStr">
        <is>
          <t>Generico</t>
        </is>
      </c>
      <c r="G262" t="inlineStr">
        <is>
          <t>-</t>
        </is>
      </c>
      <c r="H262" t="inlineStr">
        <is>
          <t>A3</t>
        </is>
      </c>
      <c r="I262" t="inlineStr">
        <is>
          <t>NO APLICA</t>
        </is>
      </c>
      <c r="J262" t="n">
        <v>5</v>
      </c>
      <c r="K262" t="inlineStr">
        <is>
          <t>Activo</t>
        </is>
      </c>
      <c r="L262" t="inlineStr">
        <is>
          <t>Cargue inicial oficial desde INVENTARIO.xlsx</t>
        </is>
      </c>
      <c r="M262" s="59" t="n">
        <v>46264</v>
      </c>
    </row>
    <row r="263">
      <c r="A263" t="n">
        <v>7540</v>
      </c>
      <c r="B263" t="inlineStr">
        <is>
          <t>ABRAZADERA AJUSTABLE (UNISTRUT) GALVANIZADA CALIENTE 2"</t>
        </is>
      </c>
      <c r="C263" t="inlineStr">
        <is>
          <t>Tornilleria</t>
        </is>
      </c>
      <c r="D263" t="inlineStr">
        <is>
          <t>General</t>
        </is>
      </c>
      <c r="E263" t="inlineStr">
        <is>
          <t>Unidad</t>
        </is>
      </c>
      <c r="F263" t="inlineStr">
        <is>
          <t>Generico</t>
        </is>
      </c>
      <c r="G263" t="inlineStr">
        <is>
          <t>-</t>
        </is>
      </c>
      <c r="H263" t="inlineStr">
        <is>
          <t>A3</t>
        </is>
      </c>
      <c r="I263" t="inlineStr">
        <is>
          <t>NO APLICA</t>
        </is>
      </c>
      <c r="J263" t="n">
        <v>5</v>
      </c>
      <c r="K263" t="inlineStr">
        <is>
          <t>Activo</t>
        </is>
      </c>
      <c r="L263" t="inlineStr">
        <is>
          <t>Cargue inicial oficial desde INVENTARIO.xlsx</t>
        </is>
      </c>
      <c r="M263" s="59" t="n">
        <v>46264</v>
      </c>
    </row>
    <row r="264">
      <c r="A264" t="n">
        <v>7541</v>
      </c>
      <c r="B264" t="inlineStr">
        <is>
          <t>ABRAZADERA AJUSTABLE (UNISTRUT) GALVANIZADA CALIENTE 3/4"</t>
        </is>
      </c>
      <c r="C264" t="inlineStr">
        <is>
          <t>Tornilleria</t>
        </is>
      </c>
      <c r="D264" t="inlineStr">
        <is>
          <t>General</t>
        </is>
      </c>
      <c r="E264" t="inlineStr">
        <is>
          <t>Unidad</t>
        </is>
      </c>
      <c r="F264" t="inlineStr">
        <is>
          <t>Generico</t>
        </is>
      </c>
      <c r="G264" t="inlineStr">
        <is>
          <t>-</t>
        </is>
      </c>
      <c r="H264" t="inlineStr">
        <is>
          <t>A3</t>
        </is>
      </c>
      <c r="I264" t="inlineStr">
        <is>
          <t>NO APLICA</t>
        </is>
      </c>
      <c r="J264" t="n">
        <v>5</v>
      </c>
      <c r="K264" t="inlineStr">
        <is>
          <t>Activo</t>
        </is>
      </c>
      <c r="L264" t="inlineStr">
        <is>
          <t>Cargue inicial oficial desde INVENTARIO.xlsx</t>
        </is>
      </c>
      <c r="M264" s="59" t="n">
        <v>46264</v>
      </c>
    </row>
    <row r="265">
      <c r="A265" t="n">
        <v>7542</v>
      </c>
      <c r="B265" t="inlineStr">
        <is>
          <t>ABRAZADERA AJUSTABLE (UNISTRUT) INTERIOR 1 1/2"</t>
        </is>
      </c>
      <c r="C265" t="inlineStr">
        <is>
          <t>Tornilleria</t>
        </is>
      </c>
      <c r="D265" t="inlineStr">
        <is>
          <t>General</t>
        </is>
      </c>
      <c r="E265" t="inlineStr">
        <is>
          <t>Unidad</t>
        </is>
      </c>
      <c r="F265" t="inlineStr">
        <is>
          <t>Generico</t>
        </is>
      </c>
      <c r="G265" t="inlineStr">
        <is>
          <t>-</t>
        </is>
      </c>
      <c r="H265" t="inlineStr">
        <is>
          <t>A3</t>
        </is>
      </c>
      <c r="I265" t="inlineStr">
        <is>
          <t>NO APLICA</t>
        </is>
      </c>
      <c r="J265" t="n">
        <v>5</v>
      </c>
      <c r="K265" t="inlineStr">
        <is>
          <t>Activo</t>
        </is>
      </c>
      <c r="L265" t="inlineStr">
        <is>
          <t>Cargue inicial oficial desde INVENTARIO.xlsx</t>
        </is>
      </c>
      <c r="M265" s="59" t="n">
        <v>46264</v>
      </c>
    </row>
    <row r="266">
      <c r="A266" t="n">
        <v>7544</v>
      </c>
      <c r="B266" t="inlineStr">
        <is>
          <t>ABRAZADERA AJUSTABLE (UNISTRUT) INTERIOR 1"</t>
        </is>
      </c>
      <c r="C266" t="inlineStr">
        <is>
          <t>Tornilleria</t>
        </is>
      </c>
      <c r="D266" t="inlineStr">
        <is>
          <t>General</t>
        </is>
      </c>
      <c r="E266" t="inlineStr">
        <is>
          <t>Unidad</t>
        </is>
      </c>
      <c r="F266" t="inlineStr">
        <is>
          <t>Generico</t>
        </is>
      </c>
      <c r="G266" t="inlineStr">
        <is>
          <t>-</t>
        </is>
      </c>
      <c r="H266" t="inlineStr">
        <is>
          <t>A3</t>
        </is>
      </c>
      <c r="I266" t="inlineStr">
        <is>
          <t>NO APLICA</t>
        </is>
      </c>
      <c r="J266" t="n">
        <v>5</v>
      </c>
      <c r="K266" t="inlineStr">
        <is>
          <t>Activo</t>
        </is>
      </c>
      <c r="L266" t="inlineStr">
        <is>
          <t>Cargue inicial oficial desde INVENTARIO.xlsx</t>
        </is>
      </c>
      <c r="M266" s="59" t="n">
        <v>46264</v>
      </c>
    </row>
    <row r="267">
      <c r="A267" t="n">
        <v>7545</v>
      </c>
      <c r="B267" t="inlineStr">
        <is>
          <t>ABRAZADERA AJUSTABLE (UNISTRUT) INTERIOR 1/2"</t>
        </is>
      </c>
      <c r="C267" t="inlineStr">
        <is>
          <t>Tornilleria</t>
        </is>
      </c>
      <c r="D267" t="inlineStr">
        <is>
          <t>General</t>
        </is>
      </c>
      <c r="E267" t="inlineStr">
        <is>
          <t>Unidad</t>
        </is>
      </c>
      <c r="F267" t="inlineStr">
        <is>
          <t>Generico</t>
        </is>
      </c>
      <c r="G267" t="inlineStr">
        <is>
          <t>-</t>
        </is>
      </c>
      <c r="H267" t="inlineStr">
        <is>
          <t>A3</t>
        </is>
      </c>
      <c r="I267" t="inlineStr">
        <is>
          <t>NO APLICA</t>
        </is>
      </c>
      <c r="J267" t="n">
        <v>5</v>
      </c>
      <c r="K267" t="inlineStr">
        <is>
          <t>Activo</t>
        </is>
      </c>
      <c r="L267" t="inlineStr">
        <is>
          <t>Cargue inicial oficial desde INVENTARIO.xlsx</t>
        </is>
      </c>
      <c r="M267" s="59" t="n">
        <v>46264</v>
      </c>
    </row>
    <row r="268">
      <c r="A268" t="n">
        <v>7547</v>
      </c>
      <c r="B268" t="inlineStr">
        <is>
          <t>ABRAZADERA AJUSTABLE (UNISTRUT) INTERIOR 2"</t>
        </is>
      </c>
      <c r="C268" t="inlineStr">
        <is>
          <t>Tornilleria</t>
        </is>
      </c>
      <c r="D268" t="inlineStr">
        <is>
          <t>General</t>
        </is>
      </c>
      <c r="E268" t="inlineStr">
        <is>
          <t>Unidad</t>
        </is>
      </c>
      <c r="F268" t="inlineStr">
        <is>
          <t>Generico</t>
        </is>
      </c>
      <c r="G268" t="inlineStr">
        <is>
          <t>-</t>
        </is>
      </c>
      <c r="H268" t="inlineStr">
        <is>
          <t>A3</t>
        </is>
      </c>
      <c r="I268" t="inlineStr">
        <is>
          <t>NO APLICA</t>
        </is>
      </c>
      <c r="J268" t="n">
        <v>5</v>
      </c>
      <c r="K268" t="inlineStr">
        <is>
          <t>Activo</t>
        </is>
      </c>
      <c r="L268" t="inlineStr">
        <is>
          <t>Cargue inicial oficial desde INVENTARIO.xlsx</t>
        </is>
      </c>
      <c r="M268" s="59" t="n">
        <v>46264</v>
      </c>
    </row>
    <row r="269">
      <c r="A269" t="n">
        <v>7548</v>
      </c>
      <c r="B269" t="inlineStr">
        <is>
          <t>ABRAZADERA AJUSTABLE (UNISTRUT) INTERIOR 3/4"</t>
        </is>
      </c>
      <c r="C269" t="inlineStr">
        <is>
          <t>Tornilleria</t>
        </is>
      </c>
      <c r="D269" t="inlineStr">
        <is>
          <t>General</t>
        </is>
      </c>
      <c r="E269" t="inlineStr">
        <is>
          <t>Unidad</t>
        </is>
      </c>
      <c r="F269" t="inlineStr">
        <is>
          <t>Generico</t>
        </is>
      </c>
      <c r="G269" t="inlineStr">
        <is>
          <t>-</t>
        </is>
      </c>
      <c r="H269" t="inlineStr">
        <is>
          <t>A3</t>
        </is>
      </c>
      <c r="I269" t="inlineStr">
        <is>
          <t>NO APLICA</t>
        </is>
      </c>
      <c r="J269" t="n">
        <v>5</v>
      </c>
      <c r="K269" t="inlineStr">
        <is>
          <t>Activo</t>
        </is>
      </c>
      <c r="L269" t="inlineStr">
        <is>
          <t>Cargue inicial oficial desde INVENTARIO.xlsx</t>
        </is>
      </c>
      <c r="M269" s="59" t="n">
        <v>46264</v>
      </c>
    </row>
    <row r="270">
      <c r="A270" t="n">
        <v>7549</v>
      </c>
      <c r="B270" t="inlineStr">
        <is>
          <t>ABRAZADERA COLGANTE (IMC/CORAZA) PARA EXTERIOR 1 1/2"</t>
        </is>
      </c>
      <c r="C270" t="inlineStr">
        <is>
          <t>Tornilleria</t>
        </is>
      </c>
      <c r="D270" t="inlineStr">
        <is>
          <t>General</t>
        </is>
      </c>
      <c r="E270" t="inlineStr">
        <is>
          <t>Unidad</t>
        </is>
      </c>
      <c r="F270" t="inlineStr">
        <is>
          <t>Generico</t>
        </is>
      </c>
      <c r="G270" t="inlineStr">
        <is>
          <t>-</t>
        </is>
      </c>
      <c r="H270" t="inlineStr">
        <is>
          <t>A3</t>
        </is>
      </c>
      <c r="I270" t="inlineStr">
        <is>
          <t>NO APLICA</t>
        </is>
      </c>
      <c r="J270" t="n">
        <v>5</v>
      </c>
      <c r="K270" t="inlineStr">
        <is>
          <t>Activo</t>
        </is>
      </c>
      <c r="L270" t="inlineStr">
        <is>
          <t>Cargue inicial oficial desde INVENTARIO.xlsx</t>
        </is>
      </c>
      <c r="M270" s="59" t="n">
        <v>46264</v>
      </c>
    </row>
    <row r="271">
      <c r="A271" t="n">
        <v>7551</v>
      </c>
      <c r="B271" t="inlineStr">
        <is>
          <t>ABRAZADERA COLGANTE (IMC/CORAZA) PARA EXTERIOR 1"</t>
        </is>
      </c>
      <c r="C271" t="inlineStr">
        <is>
          <t>Tornilleria</t>
        </is>
      </c>
      <c r="D271" t="inlineStr">
        <is>
          <t>General</t>
        </is>
      </c>
      <c r="E271" t="inlineStr">
        <is>
          <t>Unidad</t>
        </is>
      </c>
      <c r="F271" t="inlineStr">
        <is>
          <t>Generico</t>
        </is>
      </c>
      <c r="G271" t="inlineStr">
        <is>
          <t>-</t>
        </is>
      </c>
      <c r="H271" t="inlineStr">
        <is>
          <t>A3</t>
        </is>
      </c>
      <c r="I271" t="inlineStr">
        <is>
          <t>NO APLICA</t>
        </is>
      </c>
      <c r="J271" t="n">
        <v>5</v>
      </c>
      <c r="K271" t="inlineStr">
        <is>
          <t>Activo</t>
        </is>
      </c>
      <c r="L271" t="inlineStr">
        <is>
          <t>Cargue inicial oficial desde INVENTARIO.xlsx</t>
        </is>
      </c>
      <c r="M271" s="59" t="n">
        <v>46264</v>
      </c>
    </row>
    <row r="272">
      <c r="A272" t="n">
        <v>7552</v>
      </c>
      <c r="B272" t="inlineStr">
        <is>
          <t>ABRAZADERA COLGANTE (IMC/CORAZA) PARA EXTERIOR 1/2"</t>
        </is>
      </c>
      <c r="C272" t="inlineStr">
        <is>
          <t>Tornilleria</t>
        </is>
      </c>
      <c r="D272" t="inlineStr">
        <is>
          <t>General</t>
        </is>
      </c>
      <c r="E272" t="inlineStr">
        <is>
          <t>Unidad</t>
        </is>
      </c>
      <c r="F272" t="inlineStr">
        <is>
          <t>Generico</t>
        </is>
      </c>
      <c r="G272" t="inlineStr">
        <is>
          <t>-</t>
        </is>
      </c>
      <c r="H272" t="inlineStr">
        <is>
          <t>A3</t>
        </is>
      </c>
      <c r="I272" t="inlineStr">
        <is>
          <t>NO APLICA</t>
        </is>
      </c>
      <c r="J272" t="n">
        <v>5</v>
      </c>
      <c r="K272" t="inlineStr">
        <is>
          <t>Activo</t>
        </is>
      </c>
      <c r="L272" t="inlineStr">
        <is>
          <t>Cargue inicial oficial desde INVENTARIO.xlsx</t>
        </is>
      </c>
      <c r="M272" s="59" t="n">
        <v>46264</v>
      </c>
    </row>
    <row r="273">
      <c r="A273" t="n">
        <v>7554</v>
      </c>
      <c r="B273" t="inlineStr">
        <is>
          <t>ABRAZADERA COLGANTE (IMC/CORAZA) PARA EXTERIOR 2"</t>
        </is>
      </c>
      <c r="C273" t="inlineStr">
        <is>
          <t>Tornilleria</t>
        </is>
      </c>
      <c r="D273" t="inlineStr">
        <is>
          <t>General</t>
        </is>
      </c>
      <c r="E273" t="inlineStr">
        <is>
          <t>Unidad</t>
        </is>
      </c>
      <c r="F273" t="inlineStr">
        <is>
          <t>Generico</t>
        </is>
      </c>
      <c r="G273" t="inlineStr">
        <is>
          <t>-</t>
        </is>
      </c>
      <c r="H273" t="inlineStr">
        <is>
          <t>A3</t>
        </is>
      </c>
      <c r="I273" t="inlineStr">
        <is>
          <t>NO APLICA</t>
        </is>
      </c>
      <c r="J273" t="n">
        <v>5</v>
      </c>
      <c r="K273" t="inlineStr">
        <is>
          <t>Activo</t>
        </is>
      </c>
      <c r="L273" t="inlineStr">
        <is>
          <t>Cargue inicial oficial desde INVENTARIO.xlsx</t>
        </is>
      </c>
      <c r="M273" s="59" t="n">
        <v>46264</v>
      </c>
    </row>
    <row r="274">
      <c r="A274" t="n">
        <v>7555</v>
      </c>
      <c r="B274" t="inlineStr">
        <is>
          <t>ABRAZADERA COLGANTE (IMC/CORAZA) PARA EXTERIOR 3/4"</t>
        </is>
      </c>
      <c r="C274" t="inlineStr">
        <is>
          <t>Tornilleria</t>
        </is>
      </c>
      <c r="D274" t="inlineStr">
        <is>
          <t>General</t>
        </is>
      </c>
      <c r="E274" t="inlineStr">
        <is>
          <t>Unidad</t>
        </is>
      </c>
      <c r="F274" t="inlineStr">
        <is>
          <t>Generico</t>
        </is>
      </c>
      <c r="G274" t="inlineStr">
        <is>
          <t>-</t>
        </is>
      </c>
      <c r="H274" t="inlineStr">
        <is>
          <t>A3</t>
        </is>
      </c>
      <c r="I274" t="inlineStr">
        <is>
          <t>NO APLICA</t>
        </is>
      </c>
      <c r="J274" t="n">
        <v>5</v>
      </c>
      <c r="K274" t="inlineStr">
        <is>
          <t>Activo</t>
        </is>
      </c>
      <c r="L274" t="inlineStr">
        <is>
          <t>Cargue inicial oficial desde INVENTARIO.xlsx</t>
        </is>
      </c>
      <c r="M274" s="59" t="n">
        <v>46264</v>
      </c>
    </row>
    <row r="275">
      <c r="A275" t="n">
        <v>7556</v>
      </c>
      <c r="B275" t="inlineStr">
        <is>
          <t>ABRAZADERA COLGANTE PARA INTERIOR 1 1/2"</t>
        </is>
      </c>
      <c r="C275" t="inlineStr">
        <is>
          <t>Tornilleria</t>
        </is>
      </c>
      <c r="D275" t="inlineStr">
        <is>
          <t>General</t>
        </is>
      </c>
      <c r="E275" t="inlineStr">
        <is>
          <t>Unidad</t>
        </is>
      </c>
      <c r="F275" t="inlineStr">
        <is>
          <t>Generico</t>
        </is>
      </c>
      <c r="G275" t="inlineStr">
        <is>
          <t>-</t>
        </is>
      </c>
      <c r="H275" t="inlineStr">
        <is>
          <t>A3</t>
        </is>
      </c>
      <c r="I275" t="inlineStr">
        <is>
          <t>NO APLICA</t>
        </is>
      </c>
      <c r="J275" t="n">
        <v>5</v>
      </c>
      <c r="K275" t="inlineStr">
        <is>
          <t>Activo</t>
        </is>
      </c>
      <c r="L275" t="inlineStr">
        <is>
          <t>Cargue inicial oficial desde INVENTARIO.xlsx</t>
        </is>
      </c>
      <c r="M275" s="59" t="n">
        <v>46264</v>
      </c>
    </row>
    <row r="276">
      <c r="A276" t="n">
        <v>7557</v>
      </c>
      <c r="B276" t="inlineStr">
        <is>
          <t>ABRAZADERA COLGANTE PARA INTERIOR 1 1/4"</t>
        </is>
      </c>
      <c r="C276" t="inlineStr">
        <is>
          <t>Tornilleria</t>
        </is>
      </c>
      <c r="D276" t="inlineStr">
        <is>
          <t>General</t>
        </is>
      </c>
      <c r="E276" t="inlineStr">
        <is>
          <t>Unidad</t>
        </is>
      </c>
      <c r="F276" t="inlineStr">
        <is>
          <t>Generico</t>
        </is>
      </c>
      <c r="G276" t="inlineStr">
        <is>
          <t>-</t>
        </is>
      </c>
      <c r="H276" t="inlineStr">
        <is>
          <t>A3</t>
        </is>
      </c>
      <c r="I276" t="inlineStr">
        <is>
          <t>NO APLICA</t>
        </is>
      </c>
      <c r="J276" t="n">
        <v>5</v>
      </c>
      <c r="K276" t="inlineStr">
        <is>
          <t>Activo</t>
        </is>
      </c>
      <c r="L276" t="inlineStr">
        <is>
          <t>Cargue inicial oficial desde INVENTARIO.xlsx</t>
        </is>
      </c>
      <c r="M276" s="59" t="n">
        <v>46264</v>
      </c>
    </row>
    <row r="277">
      <c r="A277" t="n">
        <v>7558</v>
      </c>
      <c r="B277" t="inlineStr">
        <is>
          <t>ABRAZADERA COLGANTE PARA INTERIOR 1"</t>
        </is>
      </c>
      <c r="C277" t="inlineStr">
        <is>
          <t>Tornilleria</t>
        </is>
      </c>
      <c r="D277" t="inlineStr">
        <is>
          <t>General</t>
        </is>
      </c>
      <c r="E277" t="inlineStr">
        <is>
          <t>Unidad</t>
        </is>
      </c>
      <c r="F277" t="inlineStr">
        <is>
          <t>Generico</t>
        </is>
      </c>
      <c r="G277" t="inlineStr">
        <is>
          <t>-</t>
        </is>
      </c>
      <c r="H277" t="inlineStr">
        <is>
          <t>A3</t>
        </is>
      </c>
      <c r="I277" t="inlineStr">
        <is>
          <t>NO APLICA</t>
        </is>
      </c>
      <c r="J277" t="n">
        <v>5</v>
      </c>
      <c r="K277" t="inlineStr">
        <is>
          <t>Activo</t>
        </is>
      </c>
      <c r="L277" t="inlineStr">
        <is>
          <t>Cargue inicial oficial desde INVENTARIO.xlsx</t>
        </is>
      </c>
      <c r="M277" s="59" t="n">
        <v>46264</v>
      </c>
    </row>
    <row r="278">
      <c r="A278" t="n">
        <v>7559</v>
      </c>
      <c r="B278" t="inlineStr">
        <is>
          <t>ABRAZADERA COLGANTE PARA INTERIOR 1/2"</t>
        </is>
      </c>
      <c r="C278" t="inlineStr">
        <is>
          <t>Tornilleria</t>
        </is>
      </c>
      <c r="D278" t="inlineStr">
        <is>
          <t>General</t>
        </is>
      </c>
      <c r="E278" t="inlineStr">
        <is>
          <t>Unidad</t>
        </is>
      </c>
      <c r="F278" t="inlineStr">
        <is>
          <t>Generico</t>
        </is>
      </c>
      <c r="G278" t="inlineStr">
        <is>
          <t>-</t>
        </is>
      </c>
      <c r="H278" t="inlineStr">
        <is>
          <t>A3</t>
        </is>
      </c>
      <c r="I278" t="inlineStr">
        <is>
          <t>NO APLICA</t>
        </is>
      </c>
      <c r="J278" t="n">
        <v>5</v>
      </c>
      <c r="K278" t="inlineStr">
        <is>
          <t>Activo</t>
        </is>
      </c>
      <c r="L278" t="inlineStr">
        <is>
          <t>Cargue inicial oficial desde INVENTARIO.xlsx</t>
        </is>
      </c>
      <c r="M278" s="59" t="n">
        <v>46264</v>
      </c>
    </row>
    <row r="279">
      <c r="A279" t="n">
        <v>7562</v>
      </c>
      <c r="B279" t="inlineStr">
        <is>
          <t>ABRAZADERA COLGANTE PARA INTERIOR 3/4"</t>
        </is>
      </c>
      <c r="C279" t="inlineStr">
        <is>
          <t>Tornilleria</t>
        </is>
      </c>
      <c r="D279" t="inlineStr">
        <is>
          <t>General</t>
        </is>
      </c>
      <c r="E279" t="inlineStr">
        <is>
          <t>Unidad</t>
        </is>
      </c>
      <c r="F279" t="inlineStr">
        <is>
          <t>Generico</t>
        </is>
      </c>
      <c r="G279" t="inlineStr">
        <is>
          <t>-</t>
        </is>
      </c>
      <c r="H279" t="inlineStr">
        <is>
          <t>A3</t>
        </is>
      </c>
      <c r="I279" t="inlineStr">
        <is>
          <t>NO APLICA</t>
        </is>
      </c>
      <c r="J279" t="n">
        <v>5</v>
      </c>
      <c r="K279" t="inlineStr">
        <is>
          <t>Activo</t>
        </is>
      </c>
      <c r="L279" t="inlineStr">
        <is>
          <t>Cargue inicial oficial desde INVENTARIO.xlsx</t>
        </is>
      </c>
      <c r="M279" s="59" t="n">
        <v>46264</v>
      </c>
    </row>
    <row r="280">
      <c r="A280" t="n">
        <v>7563</v>
      </c>
      <c r="B280" t="inlineStr">
        <is>
          <t>ABRAZADERA DOBLE ALA (IMC/CORAZA) PARA EXTERIOR 1 1/2"</t>
        </is>
      </c>
      <c r="C280" t="inlineStr">
        <is>
          <t>Tornilleria</t>
        </is>
      </c>
      <c r="D280" t="inlineStr">
        <is>
          <t>General</t>
        </is>
      </c>
      <c r="E280" t="inlineStr">
        <is>
          <t>Unidad</t>
        </is>
      </c>
      <c r="F280" t="inlineStr">
        <is>
          <t>Generico</t>
        </is>
      </c>
      <c r="G280" t="inlineStr">
        <is>
          <t>-</t>
        </is>
      </c>
      <c r="H280" t="inlineStr">
        <is>
          <t>A3</t>
        </is>
      </c>
      <c r="I280" t="inlineStr">
        <is>
          <t>NO APLICA</t>
        </is>
      </c>
      <c r="J280" t="n">
        <v>5</v>
      </c>
      <c r="K280" t="inlineStr">
        <is>
          <t>Activo</t>
        </is>
      </c>
      <c r="L280" t="inlineStr">
        <is>
          <t>Cargue inicial oficial desde INVENTARIO.xlsx</t>
        </is>
      </c>
      <c r="M280" s="59" t="n">
        <v>46264</v>
      </c>
    </row>
    <row r="281">
      <c r="A281" t="n">
        <v>7564</v>
      </c>
      <c r="B281" t="inlineStr">
        <is>
          <t>ABRAZADERA DOBLE ALA (IMC/CORAZA) PARA EXTERIOR 1 1/4"</t>
        </is>
      </c>
      <c r="C281" t="inlineStr">
        <is>
          <t>Tornilleria</t>
        </is>
      </c>
      <c r="D281" t="inlineStr">
        <is>
          <t>General</t>
        </is>
      </c>
      <c r="E281" t="inlineStr">
        <is>
          <t>Unidad</t>
        </is>
      </c>
      <c r="F281" t="inlineStr">
        <is>
          <t>Generico</t>
        </is>
      </c>
      <c r="G281" t="inlineStr">
        <is>
          <t>-</t>
        </is>
      </c>
      <c r="H281" t="inlineStr">
        <is>
          <t>A3</t>
        </is>
      </c>
      <c r="I281" t="inlineStr">
        <is>
          <t>NO APLICA</t>
        </is>
      </c>
      <c r="J281" t="n">
        <v>5</v>
      </c>
      <c r="K281" t="inlineStr">
        <is>
          <t>Activo</t>
        </is>
      </c>
      <c r="L281" t="inlineStr">
        <is>
          <t>Cargue inicial oficial desde INVENTARIO.xlsx</t>
        </is>
      </c>
      <c r="M281" s="59" t="n">
        <v>46264</v>
      </c>
    </row>
    <row r="282">
      <c r="A282" t="n">
        <v>7565</v>
      </c>
      <c r="B282" t="inlineStr">
        <is>
          <t>ABRAZADERA DOBLE ALA (IMC/CORAZA) PARA EXTERIOR 1"</t>
        </is>
      </c>
      <c r="C282" t="inlineStr">
        <is>
          <t>Tornilleria</t>
        </is>
      </c>
      <c r="D282" t="inlineStr">
        <is>
          <t>General</t>
        </is>
      </c>
      <c r="E282" t="inlineStr">
        <is>
          <t>Unidad</t>
        </is>
      </c>
      <c r="F282" t="inlineStr">
        <is>
          <t>Generico</t>
        </is>
      </c>
      <c r="G282" t="inlineStr">
        <is>
          <t>-</t>
        </is>
      </c>
      <c r="H282" t="inlineStr">
        <is>
          <t>A3</t>
        </is>
      </c>
      <c r="I282" t="inlineStr">
        <is>
          <t>NO APLICA</t>
        </is>
      </c>
      <c r="J282" t="n">
        <v>5</v>
      </c>
      <c r="K282" t="inlineStr">
        <is>
          <t>Activo</t>
        </is>
      </c>
      <c r="L282" t="inlineStr">
        <is>
          <t>Cargue inicial oficial desde INVENTARIO.xlsx</t>
        </is>
      </c>
      <c r="M282" s="59" t="n">
        <v>46264</v>
      </c>
    </row>
    <row r="283">
      <c r="A283" t="n">
        <v>7568</v>
      </c>
      <c r="B283" t="inlineStr">
        <is>
          <t>ABRAZADERA DOBLE ALA (IMC/CORAZA) PARA EXTERIOR 2"</t>
        </is>
      </c>
      <c r="C283" t="inlineStr">
        <is>
          <t>Tornilleria</t>
        </is>
      </c>
      <c r="D283" t="inlineStr">
        <is>
          <t>General</t>
        </is>
      </c>
      <c r="E283" t="inlineStr">
        <is>
          <t>Unidad</t>
        </is>
      </c>
      <c r="F283" t="inlineStr">
        <is>
          <t>Generico</t>
        </is>
      </c>
      <c r="G283" t="inlineStr">
        <is>
          <t>-</t>
        </is>
      </c>
      <c r="H283" t="inlineStr">
        <is>
          <t>A3</t>
        </is>
      </c>
      <c r="I283" t="inlineStr">
        <is>
          <t>NO APLICA</t>
        </is>
      </c>
      <c r="J283" t="n">
        <v>5</v>
      </c>
      <c r="K283" t="inlineStr">
        <is>
          <t>Activo</t>
        </is>
      </c>
      <c r="L283" t="inlineStr">
        <is>
          <t>Cargue inicial oficial desde INVENTARIO.xlsx</t>
        </is>
      </c>
      <c r="M283" s="59" t="n">
        <v>46264</v>
      </c>
    </row>
    <row r="284">
      <c r="A284" t="n">
        <v>7569</v>
      </c>
      <c r="B284" t="inlineStr">
        <is>
          <t>ABRAZADERA DOBLE ALA (IMC/CORAZA) PARA EXTERIOR 3/4"</t>
        </is>
      </c>
      <c r="C284" t="inlineStr">
        <is>
          <t>Tornilleria</t>
        </is>
      </c>
      <c r="D284" t="inlineStr">
        <is>
          <t>General</t>
        </is>
      </c>
      <c r="E284" t="inlineStr">
        <is>
          <t>Unidad</t>
        </is>
      </c>
      <c r="F284" t="inlineStr">
        <is>
          <t>Generico</t>
        </is>
      </c>
      <c r="G284" t="inlineStr">
        <is>
          <t>-</t>
        </is>
      </c>
      <c r="H284" t="inlineStr">
        <is>
          <t>A3</t>
        </is>
      </c>
      <c r="I284" t="inlineStr">
        <is>
          <t>NO APLICA</t>
        </is>
      </c>
      <c r="J284" t="n">
        <v>5</v>
      </c>
      <c r="K284" t="inlineStr">
        <is>
          <t>Activo</t>
        </is>
      </c>
      <c r="L284" t="inlineStr">
        <is>
          <t>Cargue inicial oficial desde INVENTARIO.xlsx</t>
        </is>
      </c>
      <c r="M284" s="59" t="n">
        <v>46264</v>
      </c>
    </row>
    <row r="285">
      <c r="A285" t="n">
        <v>7570</v>
      </c>
      <c r="B285" t="inlineStr">
        <is>
          <t>ABRAZADERA DOBLE ALA PARA INTERIOR 1 1/2"</t>
        </is>
      </c>
      <c r="C285" t="inlineStr">
        <is>
          <t>Tornilleria</t>
        </is>
      </c>
      <c r="D285" t="inlineStr">
        <is>
          <t>General</t>
        </is>
      </c>
      <c r="E285" t="inlineStr">
        <is>
          <t>Unidad</t>
        </is>
      </c>
      <c r="F285" t="inlineStr">
        <is>
          <t>Generico</t>
        </is>
      </c>
      <c r="G285" t="inlineStr">
        <is>
          <t>-</t>
        </is>
      </c>
      <c r="H285" t="inlineStr">
        <is>
          <t>A3</t>
        </is>
      </c>
      <c r="I285" t="inlineStr">
        <is>
          <t>NO APLICA</t>
        </is>
      </c>
      <c r="J285" t="n">
        <v>5</v>
      </c>
      <c r="K285" t="inlineStr">
        <is>
          <t>Activo</t>
        </is>
      </c>
      <c r="L285" t="inlineStr">
        <is>
          <t>Cargue inicial oficial desde INVENTARIO.xlsx</t>
        </is>
      </c>
      <c r="M285" s="59" t="n">
        <v>46264</v>
      </c>
    </row>
    <row r="286">
      <c r="A286" t="n">
        <v>7572</v>
      </c>
      <c r="B286" t="inlineStr">
        <is>
          <t>ABRAZADERA DOBLE ALA PARA INTERIOR 1"</t>
        </is>
      </c>
      <c r="C286" t="inlineStr">
        <is>
          <t>Tornilleria</t>
        </is>
      </c>
      <c r="D286" t="inlineStr">
        <is>
          <t>General</t>
        </is>
      </c>
      <c r="E286" t="inlineStr">
        <is>
          <t>Unidad</t>
        </is>
      </c>
      <c r="F286" t="inlineStr">
        <is>
          <t>Generico</t>
        </is>
      </c>
      <c r="G286" t="inlineStr">
        <is>
          <t>-</t>
        </is>
      </c>
      <c r="H286" t="inlineStr">
        <is>
          <t>A3</t>
        </is>
      </c>
      <c r="I286" t="inlineStr">
        <is>
          <t>NO APLICA</t>
        </is>
      </c>
      <c r="J286" t="n">
        <v>5</v>
      </c>
      <c r="K286" t="inlineStr">
        <is>
          <t>Activo</t>
        </is>
      </c>
      <c r="L286" t="inlineStr">
        <is>
          <t>Cargue inicial oficial desde INVENTARIO.xlsx</t>
        </is>
      </c>
      <c r="M286" s="59" t="n">
        <v>46264</v>
      </c>
    </row>
    <row r="287">
      <c r="A287" t="n">
        <v>7573</v>
      </c>
      <c r="B287" t="inlineStr">
        <is>
          <t>ABRAZADERA DOBLE ALA PARA INTERIOR 1/2"</t>
        </is>
      </c>
      <c r="C287" t="inlineStr">
        <is>
          <t>Tornilleria</t>
        </is>
      </c>
      <c r="D287" t="inlineStr">
        <is>
          <t>General</t>
        </is>
      </c>
      <c r="E287" t="inlineStr">
        <is>
          <t>Unidad</t>
        </is>
      </c>
      <c r="F287" t="inlineStr">
        <is>
          <t>Generico</t>
        </is>
      </c>
      <c r="G287" t="inlineStr">
        <is>
          <t>-</t>
        </is>
      </c>
      <c r="H287" t="inlineStr">
        <is>
          <t>A3</t>
        </is>
      </c>
      <c r="I287" t="inlineStr">
        <is>
          <t>NO APLICA</t>
        </is>
      </c>
      <c r="J287" t="n">
        <v>5</v>
      </c>
      <c r="K287" t="inlineStr">
        <is>
          <t>Activo</t>
        </is>
      </c>
      <c r="L287" t="inlineStr">
        <is>
          <t>Cargue inicial oficial desde INVENTARIO.xlsx</t>
        </is>
      </c>
      <c r="M287" s="59" t="n">
        <v>46264</v>
      </c>
    </row>
    <row r="288">
      <c r="A288" t="n">
        <v>7575</v>
      </c>
      <c r="B288" t="inlineStr">
        <is>
          <t>ABRAZADERA DOBLE ALA PARA INTERIOR 2"</t>
        </is>
      </c>
      <c r="C288" t="inlineStr">
        <is>
          <t>Tornilleria</t>
        </is>
      </c>
      <c r="D288" t="inlineStr">
        <is>
          <t>General</t>
        </is>
      </c>
      <c r="E288" t="inlineStr">
        <is>
          <t>Unidad</t>
        </is>
      </c>
      <c r="F288" t="inlineStr">
        <is>
          <t>Generico</t>
        </is>
      </c>
      <c r="G288" t="inlineStr">
        <is>
          <t>-</t>
        </is>
      </c>
      <c r="H288" t="inlineStr">
        <is>
          <t>A3</t>
        </is>
      </c>
      <c r="I288" t="inlineStr">
        <is>
          <t>NO APLICA</t>
        </is>
      </c>
      <c r="J288" t="n">
        <v>5</v>
      </c>
      <c r="K288" t="inlineStr">
        <is>
          <t>Activo</t>
        </is>
      </c>
      <c r="L288" t="inlineStr">
        <is>
          <t>Cargue inicial oficial desde INVENTARIO.xlsx</t>
        </is>
      </c>
      <c r="M288" s="59" t="n">
        <v>46264</v>
      </c>
    </row>
    <row r="289">
      <c r="A289" t="n">
        <v>7576</v>
      </c>
      <c r="B289" t="inlineStr">
        <is>
          <t>ABRAZADERA DOBLE ALA PARA INTERIOR 3/4"</t>
        </is>
      </c>
      <c r="C289" t="inlineStr">
        <is>
          <t>Tornilleria</t>
        </is>
      </c>
      <c r="D289" t="inlineStr">
        <is>
          <t>General</t>
        </is>
      </c>
      <c r="E289" t="inlineStr">
        <is>
          <t>Unidad</t>
        </is>
      </c>
      <c r="F289" t="inlineStr">
        <is>
          <t>Generico</t>
        </is>
      </c>
      <c r="G289" t="inlineStr">
        <is>
          <t>-</t>
        </is>
      </c>
      <c r="H289" t="inlineStr">
        <is>
          <t>A3</t>
        </is>
      </c>
      <c r="I289" t="inlineStr">
        <is>
          <t>NO APLICA</t>
        </is>
      </c>
      <c r="J289" t="n">
        <v>5</v>
      </c>
      <c r="K289" t="inlineStr">
        <is>
          <t>Activo</t>
        </is>
      </c>
      <c r="L289" t="inlineStr">
        <is>
          <t>Cargue inicial oficial desde INVENTARIO.xlsx</t>
        </is>
      </c>
      <c r="M289" s="59" t="n">
        <v>46264</v>
      </c>
    </row>
    <row r="290">
      <c r="A290" t="n">
        <v>7579</v>
      </c>
      <c r="B290" t="inlineStr">
        <is>
          <t>ABRAZADERA UN ALA (IMC/CORAZA) PARA EXTERIOR 1"</t>
        </is>
      </c>
      <c r="C290" t="inlineStr">
        <is>
          <t>Tornilleria</t>
        </is>
      </c>
      <c r="D290" t="inlineStr">
        <is>
          <t>General</t>
        </is>
      </c>
      <c r="E290" t="inlineStr">
        <is>
          <t>Unidad</t>
        </is>
      </c>
      <c r="F290" t="inlineStr">
        <is>
          <t>Generico</t>
        </is>
      </c>
      <c r="G290" t="inlineStr">
        <is>
          <t>-</t>
        </is>
      </c>
      <c r="H290" t="inlineStr">
        <is>
          <t>A3</t>
        </is>
      </c>
      <c r="I290" t="inlineStr">
        <is>
          <t>NO APLICA</t>
        </is>
      </c>
      <c r="J290" t="n">
        <v>5</v>
      </c>
      <c r="K290" t="inlineStr">
        <is>
          <t>Activo</t>
        </is>
      </c>
      <c r="L290" t="inlineStr">
        <is>
          <t>Cargue inicial oficial desde INVENTARIO.xlsx</t>
        </is>
      </c>
      <c r="M290" s="59" t="n">
        <v>46264</v>
      </c>
    </row>
    <row r="291">
      <c r="A291" t="n">
        <v>7590</v>
      </c>
      <c r="B291" t="inlineStr">
        <is>
          <t>ABRAZADERA UN ALA PARA INTERIOR 3/4"</t>
        </is>
      </c>
      <c r="C291" t="inlineStr">
        <is>
          <t>Tornilleria</t>
        </is>
      </c>
      <c r="D291" t="inlineStr">
        <is>
          <t>General</t>
        </is>
      </c>
      <c r="E291" t="inlineStr">
        <is>
          <t>Unidad</t>
        </is>
      </c>
      <c r="F291" t="inlineStr">
        <is>
          <t>Generico</t>
        </is>
      </c>
      <c r="G291" t="inlineStr">
        <is>
          <t>-</t>
        </is>
      </c>
      <c r="H291" t="inlineStr">
        <is>
          <t>A3</t>
        </is>
      </c>
      <c r="I291" t="inlineStr">
        <is>
          <t>NO APLICA</t>
        </is>
      </c>
      <c r="J291" t="n">
        <v>5</v>
      </c>
      <c r="K291" t="inlineStr">
        <is>
          <t>Activo</t>
        </is>
      </c>
      <c r="L291" t="inlineStr">
        <is>
          <t>Cargue inicial oficial desde INVENTARIO.xlsx</t>
        </is>
      </c>
      <c r="M291" s="59" t="n">
        <v>46264</v>
      </c>
    </row>
    <row r="292">
      <c r="A292" t="n">
        <v>7602</v>
      </c>
      <c r="B292" t="inlineStr">
        <is>
          <t>ADAPTADOR HEMBRA CONDUIT PVC 1/2"</t>
        </is>
      </c>
      <c r="C292" t="inlineStr">
        <is>
          <t>Materiales</t>
        </is>
      </c>
      <c r="D292" t="inlineStr">
        <is>
          <t>General</t>
        </is>
      </c>
      <c r="E292" t="inlineStr">
        <is>
          <t>Unidad</t>
        </is>
      </c>
      <c r="F292" t="inlineStr">
        <is>
          <t>Generico</t>
        </is>
      </c>
      <c r="G292" t="inlineStr">
        <is>
          <t>-</t>
        </is>
      </c>
      <c r="H292" t="inlineStr">
        <is>
          <t>-</t>
        </is>
      </c>
      <c r="I292" t="inlineStr">
        <is>
          <t>NO APLICA</t>
        </is>
      </c>
      <c r="J292" t="n">
        <v>5</v>
      </c>
      <c r="K292" t="inlineStr">
        <is>
          <t>Activo</t>
        </is>
      </c>
      <c r="L292" t="inlineStr">
        <is>
          <t>Cargue inicial oficial desde INVENTARIO.xlsx</t>
        </is>
      </c>
      <c r="M292" s="59" t="n">
        <v>46264</v>
      </c>
    </row>
    <row r="293">
      <c r="A293" t="n">
        <v>7656</v>
      </c>
      <c r="B293" t="inlineStr">
        <is>
          <t>ADAPTADOR MACHO PVC 1/2"</t>
        </is>
      </c>
      <c r="C293" t="inlineStr">
        <is>
          <t>Materiales</t>
        </is>
      </c>
      <c r="D293" t="inlineStr">
        <is>
          <t>General</t>
        </is>
      </c>
      <c r="E293" t="inlineStr">
        <is>
          <t>Unidad</t>
        </is>
      </c>
      <c r="F293" t="inlineStr">
        <is>
          <t>Generico</t>
        </is>
      </c>
      <c r="G293" t="inlineStr">
        <is>
          <t>-</t>
        </is>
      </c>
      <c r="H293" t="inlineStr">
        <is>
          <t>-</t>
        </is>
      </c>
      <c r="I293" t="inlineStr">
        <is>
          <t>NO APLICA</t>
        </is>
      </c>
      <c r="J293" t="n">
        <v>5</v>
      </c>
      <c r="K293" t="inlineStr">
        <is>
          <t>Activo</t>
        </is>
      </c>
      <c r="L293" t="inlineStr">
        <is>
          <t>Cargue inicial oficial desde INVENTARIO.xlsx</t>
        </is>
      </c>
      <c r="M293" s="59" t="n">
        <v>46264</v>
      </c>
    </row>
    <row r="294">
      <c r="A294" t="n">
        <v>7667</v>
      </c>
      <c r="B294" t="inlineStr">
        <is>
          <t>ADAPTADOR TERMINAL CAMPANA DUCTO CONDUIT PVC 2"</t>
        </is>
      </c>
      <c r="C294" t="inlineStr">
        <is>
          <t>Elementos electricos</t>
        </is>
      </c>
      <c r="D294" t="inlineStr">
        <is>
          <t>General</t>
        </is>
      </c>
      <c r="E294" t="inlineStr">
        <is>
          <t>Unidad</t>
        </is>
      </c>
      <c r="F294" t="inlineStr">
        <is>
          <t>Generico</t>
        </is>
      </c>
      <c r="G294" t="inlineStr">
        <is>
          <t>-</t>
        </is>
      </c>
      <c r="H294" t="inlineStr">
        <is>
          <t>-</t>
        </is>
      </c>
      <c r="I294" t="inlineStr">
        <is>
          <t>NO APLICA</t>
        </is>
      </c>
      <c r="J294" t="n">
        <v>5</v>
      </c>
      <c r="K294" t="inlineStr">
        <is>
          <t>Activo</t>
        </is>
      </c>
      <c r="L294" t="inlineStr">
        <is>
          <t>Cargue inicial oficial desde INVENTARIO.xlsx</t>
        </is>
      </c>
      <c r="M294" s="59" t="n">
        <v>46264</v>
      </c>
    </row>
    <row r="295">
      <c r="A295" t="n">
        <v>7668</v>
      </c>
      <c r="B295" t="inlineStr">
        <is>
          <t>ADAPTADOR TERMINAL CAMPANA DUCTO CONDUIT PVC 3"</t>
        </is>
      </c>
      <c r="C295" t="inlineStr">
        <is>
          <t>Elementos electricos</t>
        </is>
      </c>
      <c r="D295" t="inlineStr">
        <is>
          <t>General</t>
        </is>
      </c>
      <c r="E295" t="inlineStr">
        <is>
          <t>Unidad</t>
        </is>
      </c>
      <c r="F295" t="inlineStr">
        <is>
          <t>Generico</t>
        </is>
      </c>
      <c r="G295" t="inlineStr">
        <is>
          <t>-</t>
        </is>
      </c>
      <c r="H295" t="inlineStr">
        <is>
          <t>-</t>
        </is>
      </c>
      <c r="I295" t="inlineStr">
        <is>
          <t>NO APLICA</t>
        </is>
      </c>
      <c r="J295" t="n">
        <v>5</v>
      </c>
      <c r="K295" t="inlineStr">
        <is>
          <t>Activo</t>
        </is>
      </c>
      <c r="L295" t="inlineStr">
        <is>
          <t>Cargue inicial oficial desde INVENTARIO.xlsx</t>
        </is>
      </c>
      <c r="M295" s="59" t="n">
        <v>46264</v>
      </c>
    </row>
    <row r="296">
      <c r="A296" t="n">
        <v>7675</v>
      </c>
      <c r="B296" t="inlineStr">
        <is>
          <t>ADAPTADOR TERMINAL CONDUIT PVC (SCH 40) 2"</t>
        </is>
      </c>
      <c r="C296" t="inlineStr">
        <is>
          <t>Elementos electricos</t>
        </is>
      </c>
      <c r="D296" t="inlineStr">
        <is>
          <t>General</t>
        </is>
      </c>
      <c r="E296" t="inlineStr">
        <is>
          <t>Unidad</t>
        </is>
      </c>
      <c r="F296" t="inlineStr">
        <is>
          <t>Generico</t>
        </is>
      </c>
      <c r="G296" t="inlineStr">
        <is>
          <t>-</t>
        </is>
      </c>
      <c r="H296" t="inlineStr">
        <is>
          <t>-</t>
        </is>
      </c>
      <c r="I296" t="inlineStr">
        <is>
          <t>NO APLICA</t>
        </is>
      </c>
      <c r="J296" t="n">
        <v>5</v>
      </c>
      <c r="K296" t="inlineStr">
        <is>
          <t>Activo</t>
        </is>
      </c>
      <c r="L296" t="inlineStr">
        <is>
          <t>Cargue inicial oficial desde INVENTARIO.xlsx</t>
        </is>
      </c>
      <c r="M296" s="59" t="n">
        <v>46264</v>
      </c>
    </row>
    <row r="297">
      <c r="A297" t="n">
        <v>7678</v>
      </c>
      <c r="B297" t="inlineStr">
        <is>
          <t>ADAPTADOR TERMINAL CONDUIT PVC 1 1/2"</t>
        </is>
      </c>
      <c r="C297" t="inlineStr">
        <is>
          <t>Elementos electricos</t>
        </is>
      </c>
      <c r="D297" t="inlineStr">
        <is>
          <t>General</t>
        </is>
      </c>
      <c r="E297" t="inlineStr">
        <is>
          <t>Unidad</t>
        </is>
      </c>
      <c r="F297" t="inlineStr">
        <is>
          <t>Generico</t>
        </is>
      </c>
      <c r="G297" t="inlineStr">
        <is>
          <t>-</t>
        </is>
      </c>
      <c r="H297" t="inlineStr">
        <is>
          <t>-</t>
        </is>
      </c>
      <c r="I297" t="inlineStr">
        <is>
          <t>NO APLICA</t>
        </is>
      </c>
      <c r="J297" t="n">
        <v>5</v>
      </c>
      <c r="K297" t="inlineStr">
        <is>
          <t>Activo</t>
        </is>
      </c>
      <c r="L297" t="inlineStr">
        <is>
          <t>Cargue inicial oficial desde INVENTARIO.xlsx</t>
        </is>
      </c>
      <c r="M297" s="59" t="n">
        <v>46264</v>
      </c>
    </row>
    <row r="298">
      <c r="A298" t="n">
        <v>7679</v>
      </c>
      <c r="B298" t="inlineStr">
        <is>
          <t>ADAPTADOR TERMINAL CONDUIT PVC 1 1/4"</t>
        </is>
      </c>
      <c r="C298" t="inlineStr">
        <is>
          <t>Elementos electricos</t>
        </is>
      </c>
      <c r="D298" t="inlineStr">
        <is>
          <t>General</t>
        </is>
      </c>
      <c r="E298" t="inlineStr">
        <is>
          <t>Unidad</t>
        </is>
      </c>
      <c r="F298" t="inlineStr">
        <is>
          <t>Generico</t>
        </is>
      </c>
      <c r="G298" t="inlineStr">
        <is>
          <t>-</t>
        </is>
      </c>
      <c r="H298" t="inlineStr">
        <is>
          <t>-</t>
        </is>
      </c>
      <c r="I298" t="inlineStr">
        <is>
          <t>NO APLICA</t>
        </is>
      </c>
      <c r="J298" t="n">
        <v>5</v>
      </c>
      <c r="K298" t="inlineStr">
        <is>
          <t>Activo</t>
        </is>
      </c>
      <c r="L298" t="inlineStr">
        <is>
          <t>Cargue inicial oficial desde INVENTARIO.xlsx</t>
        </is>
      </c>
      <c r="M298" s="59" t="n">
        <v>46264</v>
      </c>
    </row>
    <row r="299">
      <c r="A299" t="n">
        <v>7680</v>
      </c>
      <c r="B299" t="inlineStr">
        <is>
          <t>ADAPTADOR TERMINAL CONDUIT PVC 1"</t>
        </is>
      </c>
      <c r="C299" t="inlineStr">
        <is>
          <t>Elementos electricos</t>
        </is>
      </c>
      <c r="D299" t="inlineStr">
        <is>
          <t>General</t>
        </is>
      </c>
      <c r="E299" t="inlineStr">
        <is>
          <t>Unidad</t>
        </is>
      </c>
      <c r="F299" t="inlineStr">
        <is>
          <t>Generico</t>
        </is>
      </c>
      <c r="G299" t="inlineStr">
        <is>
          <t>-</t>
        </is>
      </c>
      <c r="H299" t="inlineStr">
        <is>
          <t>-</t>
        </is>
      </c>
      <c r="I299" t="inlineStr">
        <is>
          <t>NO APLICA</t>
        </is>
      </c>
      <c r="J299" t="n">
        <v>5</v>
      </c>
      <c r="K299" t="inlineStr">
        <is>
          <t>Activo</t>
        </is>
      </c>
      <c r="L299" t="inlineStr">
        <is>
          <t>Cargue inicial oficial desde INVENTARIO.xlsx</t>
        </is>
      </c>
      <c r="M299" s="59" t="n">
        <v>46264</v>
      </c>
    </row>
    <row r="300">
      <c r="A300" t="n">
        <v>7682</v>
      </c>
      <c r="B300" t="inlineStr">
        <is>
          <t>ADAPTADOR TERMINAL CONDUIT PVC 2"</t>
        </is>
      </c>
      <c r="C300" t="inlineStr">
        <is>
          <t>Elementos electricos</t>
        </is>
      </c>
      <c r="D300" t="inlineStr">
        <is>
          <t>General</t>
        </is>
      </c>
      <c r="E300" t="inlineStr">
        <is>
          <t>Unidad</t>
        </is>
      </c>
      <c r="F300" t="inlineStr">
        <is>
          <t>Generico</t>
        </is>
      </c>
      <c r="G300" t="inlineStr">
        <is>
          <t>-</t>
        </is>
      </c>
      <c r="H300" t="inlineStr">
        <is>
          <t>-</t>
        </is>
      </c>
      <c r="I300" t="inlineStr">
        <is>
          <t>NO APLICA</t>
        </is>
      </c>
      <c r="J300" t="n">
        <v>5</v>
      </c>
      <c r="K300" t="inlineStr">
        <is>
          <t>Activo</t>
        </is>
      </c>
      <c r="L300" t="inlineStr">
        <is>
          <t>Cargue inicial oficial desde INVENTARIO.xlsx</t>
        </is>
      </c>
      <c r="M300" s="59" t="n">
        <v>46264</v>
      </c>
    </row>
    <row r="301">
      <c r="A301" t="n">
        <v>7683</v>
      </c>
      <c r="B301" t="inlineStr">
        <is>
          <t>ADAPTADOR TERMINAL CONDUIT PVC 3"</t>
        </is>
      </c>
      <c r="C301" t="inlineStr">
        <is>
          <t>Elementos electricos</t>
        </is>
      </c>
      <c r="D301" t="inlineStr">
        <is>
          <t>General</t>
        </is>
      </c>
      <c r="E301" t="inlineStr">
        <is>
          <t>Unidad</t>
        </is>
      </c>
      <c r="F301" t="inlineStr">
        <is>
          <t>Generico</t>
        </is>
      </c>
      <c r="G301" t="inlineStr">
        <is>
          <t>-</t>
        </is>
      </c>
      <c r="H301" t="inlineStr">
        <is>
          <t>-</t>
        </is>
      </c>
      <c r="I301" t="inlineStr">
        <is>
          <t>NO APLICA</t>
        </is>
      </c>
      <c r="J301" t="n">
        <v>5</v>
      </c>
      <c r="K301" t="inlineStr">
        <is>
          <t>Activo</t>
        </is>
      </c>
      <c r="L301" t="inlineStr">
        <is>
          <t>Cargue inicial oficial desde INVENTARIO.xlsx</t>
        </is>
      </c>
      <c r="M301" s="59" t="n">
        <v>46264</v>
      </c>
    </row>
    <row r="302">
      <c r="A302" t="n">
        <v>7684</v>
      </c>
      <c r="B302" t="inlineStr">
        <is>
          <t>ADAPTADOR TERMINAL CONDUIT PVC 3/4"</t>
        </is>
      </c>
      <c r="C302" t="inlineStr">
        <is>
          <t>Elementos electricos</t>
        </is>
      </c>
      <c r="D302" t="inlineStr">
        <is>
          <t>General</t>
        </is>
      </c>
      <c r="E302" t="inlineStr">
        <is>
          <t>Unidad</t>
        </is>
      </c>
      <c r="F302" t="inlineStr">
        <is>
          <t>Generico</t>
        </is>
      </c>
      <c r="G302" t="inlineStr">
        <is>
          <t>-</t>
        </is>
      </c>
      <c r="H302" t="inlineStr">
        <is>
          <t>-</t>
        </is>
      </c>
      <c r="I302" t="inlineStr">
        <is>
          <t>NO APLICA</t>
        </is>
      </c>
      <c r="J302" t="n">
        <v>5</v>
      </c>
      <c r="K302" t="inlineStr">
        <is>
          <t>Activo</t>
        </is>
      </c>
      <c r="L302" t="inlineStr">
        <is>
          <t>Cargue inicial oficial desde INVENTARIO.xlsx</t>
        </is>
      </c>
      <c r="M302" s="59" t="n">
        <v>46264</v>
      </c>
    </row>
    <row r="303">
      <c r="A303" t="n">
        <v>7688</v>
      </c>
      <c r="B303" t="inlineStr">
        <is>
          <t>BOQUILLA Y CONTRATUERCA CON POLO A TIERRA 1 1/4"</t>
        </is>
      </c>
      <c r="C303" t="inlineStr">
        <is>
          <t>Tornilleria</t>
        </is>
      </c>
      <c r="D303" t="inlineStr">
        <is>
          <t>General</t>
        </is>
      </c>
      <c r="E303" t="inlineStr">
        <is>
          <t>Unidad</t>
        </is>
      </c>
      <c r="F303" t="inlineStr">
        <is>
          <t>Generico</t>
        </is>
      </c>
      <c r="G303" t="inlineStr">
        <is>
          <t>-</t>
        </is>
      </c>
      <c r="H303" t="inlineStr">
        <is>
          <t>-</t>
        </is>
      </c>
      <c r="I303" t="inlineStr">
        <is>
          <t>NO APLICA</t>
        </is>
      </c>
      <c r="J303" t="n">
        <v>5</v>
      </c>
      <c r="K303" t="inlineStr">
        <is>
          <t>Activo</t>
        </is>
      </c>
      <c r="L303" t="inlineStr">
        <is>
          <t>Cargue inicial oficial desde INVENTARIO.xlsx</t>
        </is>
      </c>
      <c r="M303" s="59" t="n">
        <v>46264</v>
      </c>
    </row>
    <row r="304">
      <c r="A304" t="n">
        <v>7707</v>
      </c>
      <c r="B304" t="inlineStr">
        <is>
          <t>SELLANTE ADHESIVO SIKA</t>
        </is>
      </c>
      <c r="C304" t="inlineStr">
        <is>
          <t>Consumibles</t>
        </is>
      </c>
      <c r="D304" t="inlineStr">
        <is>
          <t>General</t>
        </is>
      </c>
      <c r="E304" t="inlineStr">
        <is>
          <t>Unidad</t>
        </is>
      </c>
      <c r="F304" t="inlineStr">
        <is>
          <t>Generico</t>
        </is>
      </c>
      <c r="G304" t="inlineStr">
        <is>
          <t>-</t>
        </is>
      </c>
      <c r="H304" t="inlineStr">
        <is>
          <t>A2</t>
        </is>
      </c>
      <c r="I304" t="inlineStr">
        <is>
          <t>APLICA</t>
        </is>
      </c>
      <c r="J304" t="n">
        <v>5</v>
      </c>
      <c r="K304" t="inlineStr">
        <is>
          <t>Activo</t>
        </is>
      </c>
      <c r="L304" t="inlineStr">
        <is>
          <t>Cargue inicial oficial desde INVENTARIO.xlsx</t>
        </is>
      </c>
      <c r="M304" s="59" t="n">
        <v>46264</v>
      </c>
    </row>
    <row r="305">
      <c r="A305" t="n">
        <v>7752</v>
      </c>
      <c r="B305" t="inlineStr">
        <is>
          <t>CONDULETA CC 1 1/2" INTEMPERIE</t>
        </is>
      </c>
      <c r="C305" t="inlineStr">
        <is>
          <t>Materiales</t>
        </is>
      </c>
      <c r="D305" t="inlineStr">
        <is>
          <t>General</t>
        </is>
      </c>
      <c r="E305" t="inlineStr">
        <is>
          <t>Unidad</t>
        </is>
      </c>
      <c r="F305" t="inlineStr">
        <is>
          <t>Generico</t>
        </is>
      </c>
      <c r="G305" t="inlineStr">
        <is>
          <t>-</t>
        </is>
      </c>
      <c r="H305" t="inlineStr">
        <is>
          <t>A5</t>
        </is>
      </c>
      <c r="I305" t="inlineStr">
        <is>
          <t>NO APLICA</t>
        </is>
      </c>
      <c r="J305" t="n">
        <v>5</v>
      </c>
      <c r="K305" t="inlineStr">
        <is>
          <t>Activo</t>
        </is>
      </c>
      <c r="L305" t="inlineStr">
        <is>
          <t>Cargue inicial oficial desde INVENTARIO.xlsx</t>
        </is>
      </c>
      <c r="M305" s="59" t="n">
        <v>46264</v>
      </c>
    </row>
    <row r="306">
      <c r="A306" t="n">
        <v>7753</v>
      </c>
      <c r="B306" t="inlineStr">
        <is>
          <t>CONDULETA CC 1 1/2" INTERIOR</t>
        </is>
      </c>
      <c r="C306" t="inlineStr">
        <is>
          <t>Materiales</t>
        </is>
      </c>
      <c r="D306" t="inlineStr">
        <is>
          <t>General</t>
        </is>
      </c>
      <c r="E306" t="inlineStr">
        <is>
          <t>Unidad</t>
        </is>
      </c>
      <c r="F306" t="inlineStr">
        <is>
          <t>Generico</t>
        </is>
      </c>
      <c r="G306" t="inlineStr">
        <is>
          <t>-</t>
        </is>
      </c>
      <c r="H306" t="inlineStr">
        <is>
          <t>A4</t>
        </is>
      </c>
      <c r="I306" t="inlineStr">
        <is>
          <t>NO APLICA</t>
        </is>
      </c>
      <c r="J306" t="n">
        <v>5</v>
      </c>
      <c r="K306" t="inlineStr">
        <is>
          <t>Activo</t>
        </is>
      </c>
      <c r="L306" t="inlineStr">
        <is>
          <t>Cargue inicial oficial desde INVENTARIO.xlsx</t>
        </is>
      </c>
      <c r="M306" s="59" t="n">
        <v>46264</v>
      </c>
    </row>
    <row r="307">
      <c r="A307" t="n">
        <v>7756</v>
      </c>
      <c r="B307" t="inlineStr">
        <is>
          <t>CONDULETA CC 1" INTEMPERIE</t>
        </is>
      </c>
      <c r="C307" t="inlineStr">
        <is>
          <t>Materiales</t>
        </is>
      </c>
      <c r="D307" t="inlineStr">
        <is>
          <t>General</t>
        </is>
      </c>
      <c r="E307" t="inlineStr">
        <is>
          <t>Unidad</t>
        </is>
      </c>
      <c r="F307" t="inlineStr">
        <is>
          <t>Generico</t>
        </is>
      </c>
      <c r="G307" t="inlineStr">
        <is>
          <t>-</t>
        </is>
      </c>
      <c r="H307" t="inlineStr">
        <is>
          <t>A4</t>
        </is>
      </c>
      <c r="I307" t="inlineStr">
        <is>
          <t>NO APLICA</t>
        </is>
      </c>
      <c r="J307" t="n">
        <v>5</v>
      </c>
      <c r="K307" t="inlineStr">
        <is>
          <t>Activo</t>
        </is>
      </c>
      <c r="L307" t="inlineStr">
        <is>
          <t>Cargue inicial oficial desde INVENTARIO.xlsx</t>
        </is>
      </c>
      <c r="M307" s="59" t="n">
        <v>46264</v>
      </c>
    </row>
    <row r="308">
      <c r="A308" t="n">
        <v>7757</v>
      </c>
      <c r="B308" t="inlineStr">
        <is>
          <t>CONDULETA CC 1" INTERIOR</t>
        </is>
      </c>
      <c r="C308" t="inlineStr">
        <is>
          <t>Materiales</t>
        </is>
      </c>
      <c r="D308" t="inlineStr">
        <is>
          <t>General</t>
        </is>
      </c>
      <c r="E308" t="inlineStr">
        <is>
          <t>Unidad</t>
        </is>
      </c>
      <c r="F308" t="inlineStr">
        <is>
          <t>Generico</t>
        </is>
      </c>
      <c r="G308" t="inlineStr">
        <is>
          <t>-</t>
        </is>
      </c>
      <c r="H308" t="inlineStr">
        <is>
          <t>A5</t>
        </is>
      </c>
      <c r="I308" t="inlineStr">
        <is>
          <t>NO APLICA</t>
        </is>
      </c>
      <c r="J308" t="n">
        <v>5</v>
      </c>
      <c r="K308" t="inlineStr">
        <is>
          <t>Activo</t>
        </is>
      </c>
      <c r="L308" t="inlineStr">
        <is>
          <t>Cargue inicial oficial desde INVENTARIO.xlsx</t>
        </is>
      </c>
      <c r="M308" s="59" t="n">
        <v>46264</v>
      </c>
    </row>
    <row r="309">
      <c r="A309" t="n">
        <v>7759</v>
      </c>
      <c r="B309" t="inlineStr">
        <is>
          <t>CONDULETA CC 1/2" INTERIOR</t>
        </is>
      </c>
      <c r="C309" t="inlineStr">
        <is>
          <t>Materiales</t>
        </is>
      </c>
      <c r="D309" t="inlineStr">
        <is>
          <t>General</t>
        </is>
      </c>
      <c r="E309" t="inlineStr">
        <is>
          <t>Unidad</t>
        </is>
      </c>
      <c r="F309" t="inlineStr">
        <is>
          <t>Generico</t>
        </is>
      </c>
      <c r="G309" t="inlineStr">
        <is>
          <t>-</t>
        </is>
      </c>
      <c r="H309" t="inlineStr">
        <is>
          <t>-</t>
        </is>
      </c>
      <c r="I309" t="inlineStr">
        <is>
          <t>NO APLICA</t>
        </is>
      </c>
      <c r="J309" t="n">
        <v>5</v>
      </c>
      <c r="K309" t="inlineStr">
        <is>
          <t>Activo</t>
        </is>
      </c>
      <c r="L309" t="inlineStr">
        <is>
          <t>Cargue inicial oficial desde INVENTARIO.xlsx</t>
        </is>
      </c>
      <c r="M309" s="59" t="n">
        <v>46264</v>
      </c>
    </row>
    <row r="310">
      <c r="A310" t="n">
        <v>7760</v>
      </c>
      <c r="B310" t="inlineStr">
        <is>
          <t>CONDULETA CC 2" INTEMPERIE</t>
        </is>
      </c>
      <c r="C310" t="inlineStr">
        <is>
          <t>Materiales</t>
        </is>
      </c>
      <c r="D310" t="inlineStr">
        <is>
          <t>General</t>
        </is>
      </c>
      <c r="E310" t="inlineStr">
        <is>
          <t>Unidad</t>
        </is>
      </c>
      <c r="F310" t="inlineStr">
        <is>
          <t>Generico</t>
        </is>
      </c>
      <c r="G310" t="inlineStr">
        <is>
          <t>-</t>
        </is>
      </c>
      <c r="H310" t="inlineStr">
        <is>
          <t>A4</t>
        </is>
      </c>
      <c r="I310" t="inlineStr">
        <is>
          <t>NO APLICA</t>
        </is>
      </c>
      <c r="J310" t="n">
        <v>5</v>
      </c>
      <c r="K310" t="inlineStr">
        <is>
          <t>Activo</t>
        </is>
      </c>
      <c r="L310" t="inlineStr">
        <is>
          <t>Cargue inicial oficial desde INVENTARIO.xlsx</t>
        </is>
      </c>
      <c r="M310" s="59" t="n">
        <v>46264</v>
      </c>
    </row>
    <row r="311">
      <c r="A311" t="n">
        <v>7761</v>
      </c>
      <c r="B311" t="inlineStr">
        <is>
          <t>CONDULETA CC 2" INTERIOR</t>
        </is>
      </c>
      <c r="C311" t="inlineStr">
        <is>
          <t>Materiales</t>
        </is>
      </c>
      <c r="D311" t="inlineStr">
        <is>
          <t>General</t>
        </is>
      </c>
      <c r="E311" t="inlineStr">
        <is>
          <t>Unidad</t>
        </is>
      </c>
      <c r="F311" t="inlineStr">
        <is>
          <t>Generico</t>
        </is>
      </c>
      <c r="G311" t="inlineStr">
        <is>
          <t>-</t>
        </is>
      </c>
      <c r="H311" t="inlineStr">
        <is>
          <t>A4</t>
        </is>
      </c>
      <c r="I311" t="inlineStr">
        <is>
          <t>NO APLICA</t>
        </is>
      </c>
      <c r="J311" t="n">
        <v>5</v>
      </c>
      <c r="K311" t="inlineStr">
        <is>
          <t>Activo</t>
        </is>
      </c>
      <c r="L311" t="inlineStr">
        <is>
          <t>Cargue inicial oficial desde INVENTARIO.xlsx</t>
        </is>
      </c>
      <c r="M311" s="59" t="n">
        <v>46264</v>
      </c>
    </row>
    <row r="312">
      <c r="A312" t="n">
        <v>7762</v>
      </c>
      <c r="B312" t="inlineStr">
        <is>
          <t>CONDULETA CC 3/4" INTEMPERIE</t>
        </is>
      </c>
      <c r="C312" t="inlineStr">
        <is>
          <t>Materiales</t>
        </is>
      </c>
      <c r="D312" t="inlineStr">
        <is>
          <t>General</t>
        </is>
      </c>
      <c r="E312" t="inlineStr">
        <is>
          <t>Unidad</t>
        </is>
      </c>
      <c r="F312" t="inlineStr">
        <is>
          <t>Generico</t>
        </is>
      </c>
      <c r="G312" t="inlineStr">
        <is>
          <t>-</t>
        </is>
      </c>
      <c r="H312" t="inlineStr">
        <is>
          <t>A4</t>
        </is>
      </c>
      <c r="I312" t="inlineStr">
        <is>
          <t>NO APLICA</t>
        </is>
      </c>
      <c r="J312" t="n">
        <v>5</v>
      </c>
      <c r="K312" t="inlineStr">
        <is>
          <t>Activo</t>
        </is>
      </c>
      <c r="L312" t="inlineStr">
        <is>
          <t>Cargue inicial oficial desde INVENTARIO.xlsx</t>
        </is>
      </c>
      <c r="M312" s="59" t="n">
        <v>46264</v>
      </c>
    </row>
    <row r="313">
      <c r="A313" t="n">
        <v>7763</v>
      </c>
      <c r="B313" t="inlineStr">
        <is>
          <t>CONDULETA CC 3/4" INTERIOR</t>
        </is>
      </c>
      <c r="C313" t="inlineStr">
        <is>
          <t>Materiales</t>
        </is>
      </c>
      <c r="D313" t="inlineStr">
        <is>
          <t>General</t>
        </is>
      </c>
      <c r="E313" t="inlineStr">
        <is>
          <t>Unidad</t>
        </is>
      </c>
      <c r="F313" t="inlineStr">
        <is>
          <t>Generico</t>
        </is>
      </c>
      <c r="G313" t="inlineStr">
        <is>
          <t>-</t>
        </is>
      </c>
      <c r="H313" t="inlineStr">
        <is>
          <t>A5</t>
        </is>
      </c>
      <c r="I313" t="inlineStr">
        <is>
          <t>NO APLICA</t>
        </is>
      </c>
      <c r="J313" t="n">
        <v>5</v>
      </c>
      <c r="K313" t="inlineStr">
        <is>
          <t>Activo</t>
        </is>
      </c>
      <c r="L313" t="inlineStr">
        <is>
          <t>Cargue inicial oficial desde INVENTARIO.xlsx</t>
        </is>
      </c>
      <c r="M313" s="59" t="n">
        <v>46264</v>
      </c>
    </row>
    <row r="314">
      <c r="A314" t="n">
        <v>7764</v>
      </c>
      <c r="B314" t="inlineStr">
        <is>
          <t>CONDULETA LB 1 1/2" INTEMPERIE</t>
        </is>
      </c>
      <c r="C314" t="inlineStr">
        <is>
          <t>Materiales</t>
        </is>
      </c>
      <c r="D314" t="inlineStr">
        <is>
          <t>General</t>
        </is>
      </c>
      <c r="E314" t="inlineStr">
        <is>
          <t>Unidad</t>
        </is>
      </c>
      <c r="F314" t="inlineStr">
        <is>
          <t>Generico</t>
        </is>
      </c>
      <c r="G314" t="inlineStr">
        <is>
          <t>-</t>
        </is>
      </c>
      <c r="H314" t="inlineStr">
        <is>
          <t>A3</t>
        </is>
      </c>
      <c r="I314" t="inlineStr">
        <is>
          <t>NO APLICA</t>
        </is>
      </c>
      <c r="J314" t="n">
        <v>5</v>
      </c>
      <c r="K314" t="inlineStr">
        <is>
          <t>Activo</t>
        </is>
      </c>
      <c r="L314" t="inlineStr">
        <is>
          <t>Cargue inicial oficial desde INVENTARIO.xlsx</t>
        </is>
      </c>
      <c r="M314" s="59" t="n">
        <v>46264</v>
      </c>
    </row>
    <row r="315">
      <c r="A315" t="n">
        <v>7765</v>
      </c>
      <c r="B315" t="inlineStr">
        <is>
          <t>CONDULETA LB 1 1/2" INTERIOR</t>
        </is>
      </c>
      <c r="C315" t="inlineStr">
        <is>
          <t>Materiales</t>
        </is>
      </c>
      <c r="D315" t="inlineStr">
        <is>
          <t>General</t>
        </is>
      </c>
      <c r="E315" t="inlineStr">
        <is>
          <t>Unidad</t>
        </is>
      </c>
      <c r="F315" t="inlineStr">
        <is>
          <t>Generico</t>
        </is>
      </c>
      <c r="G315" t="inlineStr">
        <is>
          <t>-</t>
        </is>
      </c>
      <c r="H315" t="inlineStr">
        <is>
          <t>A4</t>
        </is>
      </c>
      <c r="I315" t="inlineStr">
        <is>
          <t>NO APLICA</t>
        </is>
      </c>
      <c r="J315" t="n">
        <v>5</v>
      </c>
      <c r="K315" t="inlineStr">
        <is>
          <t>Activo</t>
        </is>
      </c>
      <c r="L315" t="inlineStr">
        <is>
          <t>Cargue inicial oficial desde INVENTARIO.xlsx</t>
        </is>
      </c>
      <c r="M315" s="59" t="n">
        <v>46264</v>
      </c>
    </row>
    <row r="316">
      <c r="A316" t="n">
        <v>7766</v>
      </c>
      <c r="B316" t="inlineStr">
        <is>
          <t>CONDULETA LB 1 1/4" INTEMPERIE</t>
        </is>
      </c>
      <c r="C316" t="inlineStr">
        <is>
          <t>Materiales</t>
        </is>
      </c>
      <c r="D316" t="inlineStr">
        <is>
          <t>General</t>
        </is>
      </c>
      <c r="E316" t="inlineStr">
        <is>
          <t>Unidad</t>
        </is>
      </c>
      <c r="F316" t="inlineStr">
        <is>
          <t>Generico</t>
        </is>
      </c>
      <c r="G316" t="inlineStr">
        <is>
          <t>-</t>
        </is>
      </c>
      <c r="H316" t="inlineStr">
        <is>
          <t>A5</t>
        </is>
      </c>
      <c r="I316" t="inlineStr">
        <is>
          <t>NO APLICA</t>
        </is>
      </c>
      <c r="J316" t="n">
        <v>5</v>
      </c>
      <c r="K316" t="inlineStr">
        <is>
          <t>Activo</t>
        </is>
      </c>
      <c r="L316" t="inlineStr">
        <is>
          <t>Cargue inicial oficial desde INVENTARIO.xlsx</t>
        </is>
      </c>
      <c r="M316" s="59" t="n">
        <v>46264</v>
      </c>
    </row>
    <row r="317">
      <c r="A317" t="n">
        <v>7767</v>
      </c>
      <c r="B317" t="inlineStr">
        <is>
          <t>CONDULETA LB 1 1/4" INTERIOR</t>
        </is>
      </c>
      <c r="C317" t="inlineStr">
        <is>
          <t>Materiales</t>
        </is>
      </c>
      <c r="D317" t="inlineStr">
        <is>
          <t>General</t>
        </is>
      </c>
      <c r="E317" t="inlineStr">
        <is>
          <t>Unidad</t>
        </is>
      </c>
      <c r="F317" t="inlineStr">
        <is>
          <t>Generico</t>
        </is>
      </c>
      <c r="G317" t="inlineStr">
        <is>
          <t>-</t>
        </is>
      </c>
      <c r="H317" t="inlineStr">
        <is>
          <t>-</t>
        </is>
      </c>
      <c r="I317" t="inlineStr">
        <is>
          <t>NO APLICA</t>
        </is>
      </c>
      <c r="J317" t="n">
        <v>5</v>
      </c>
      <c r="K317" t="inlineStr">
        <is>
          <t>Activo</t>
        </is>
      </c>
      <c r="L317" t="inlineStr">
        <is>
          <t>Cargue inicial oficial desde INVENTARIO.xlsx</t>
        </is>
      </c>
      <c r="M317" s="59" t="n">
        <v>46264</v>
      </c>
    </row>
    <row r="318">
      <c r="A318" t="n">
        <v>7768</v>
      </c>
      <c r="B318" t="inlineStr">
        <is>
          <t>CONDULETA LB 1" INTEMPERIE</t>
        </is>
      </c>
      <c r="C318" t="inlineStr">
        <is>
          <t>Materiales</t>
        </is>
      </c>
      <c r="D318" t="inlineStr">
        <is>
          <t>General</t>
        </is>
      </c>
      <c r="E318" t="inlineStr">
        <is>
          <t>Unidad</t>
        </is>
      </c>
      <c r="F318" t="inlineStr">
        <is>
          <t>Generico</t>
        </is>
      </c>
      <c r="G318" t="inlineStr">
        <is>
          <t>-</t>
        </is>
      </c>
      <c r="H318" t="inlineStr">
        <is>
          <t>A3</t>
        </is>
      </c>
      <c r="I318" t="inlineStr">
        <is>
          <t>NO APLICA</t>
        </is>
      </c>
      <c r="J318" t="n">
        <v>5</v>
      </c>
      <c r="K318" t="inlineStr">
        <is>
          <t>Activo</t>
        </is>
      </c>
      <c r="L318" t="inlineStr">
        <is>
          <t>Cargue inicial oficial desde INVENTARIO.xlsx</t>
        </is>
      </c>
      <c r="M318" s="59" t="n">
        <v>46264</v>
      </c>
    </row>
    <row r="319">
      <c r="A319" t="n">
        <v>7769</v>
      </c>
      <c r="B319" t="inlineStr">
        <is>
          <t>CONDULETA LB 1" INTERIOR</t>
        </is>
      </c>
      <c r="C319" t="inlineStr">
        <is>
          <t>Materiales</t>
        </is>
      </c>
      <c r="D319" t="inlineStr">
        <is>
          <t>General</t>
        </is>
      </c>
      <c r="E319" t="inlineStr">
        <is>
          <t>Unidad</t>
        </is>
      </c>
      <c r="F319" t="inlineStr">
        <is>
          <t>Generico</t>
        </is>
      </c>
      <c r="G319" t="inlineStr">
        <is>
          <t>-</t>
        </is>
      </c>
      <c r="H319" t="inlineStr">
        <is>
          <t>A3</t>
        </is>
      </c>
      <c r="I319" t="inlineStr">
        <is>
          <t>NO APLICA</t>
        </is>
      </c>
      <c r="J319" t="n">
        <v>5</v>
      </c>
      <c r="K319" t="inlineStr">
        <is>
          <t>Activo</t>
        </is>
      </c>
      <c r="L319" t="inlineStr">
        <is>
          <t>Cargue inicial oficial desde INVENTARIO.xlsx</t>
        </is>
      </c>
      <c r="M319" s="59" t="n">
        <v>46264</v>
      </c>
    </row>
    <row r="320">
      <c r="A320" t="n">
        <v>7770</v>
      </c>
      <c r="B320" t="inlineStr">
        <is>
          <t>CONDULETA LB 1/2" INTEMPERIE</t>
        </is>
      </c>
      <c r="C320" t="inlineStr">
        <is>
          <t>Materiales</t>
        </is>
      </c>
      <c r="D320" t="inlineStr">
        <is>
          <t>General</t>
        </is>
      </c>
      <c r="E320" t="inlineStr">
        <is>
          <t>Unidad</t>
        </is>
      </c>
      <c r="F320" t="inlineStr">
        <is>
          <t>Generico</t>
        </is>
      </c>
      <c r="G320" t="inlineStr">
        <is>
          <t>-</t>
        </is>
      </c>
      <c r="H320" t="inlineStr">
        <is>
          <t>A5</t>
        </is>
      </c>
      <c r="I320" t="inlineStr">
        <is>
          <t>NO APLICA</t>
        </is>
      </c>
      <c r="J320" t="n">
        <v>5</v>
      </c>
      <c r="K320" t="inlineStr">
        <is>
          <t>Activo</t>
        </is>
      </c>
      <c r="L320" t="inlineStr">
        <is>
          <t>Cargue inicial oficial desde INVENTARIO.xlsx</t>
        </is>
      </c>
      <c r="M320" s="59" t="n">
        <v>46264</v>
      </c>
    </row>
    <row r="321">
      <c r="A321" t="n">
        <v>7771</v>
      </c>
      <c r="B321" t="inlineStr">
        <is>
          <t>CONDULETA LB 1/2" INTERIOR</t>
        </is>
      </c>
      <c r="C321" t="inlineStr">
        <is>
          <t>Materiales</t>
        </is>
      </c>
      <c r="D321" t="inlineStr">
        <is>
          <t>General</t>
        </is>
      </c>
      <c r="E321" t="inlineStr">
        <is>
          <t>Unidad</t>
        </is>
      </c>
      <c r="F321" t="inlineStr">
        <is>
          <t>Generico</t>
        </is>
      </c>
      <c r="G321" t="inlineStr">
        <is>
          <t>-</t>
        </is>
      </c>
      <c r="H321" t="inlineStr">
        <is>
          <t>A5</t>
        </is>
      </c>
      <c r="I321" t="inlineStr">
        <is>
          <t>NO APLICA</t>
        </is>
      </c>
      <c r="J321" t="n">
        <v>5</v>
      </c>
      <c r="K321" t="inlineStr">
        <is>
          <t>Activo</t>
        </is>
      </c>
      <c r="L321" t="inlineStr">
        <is>
          <t>Cargue inicial oficial desde INVENTARIO.xlsx</t>
        </is>
      </c>
      <c r="M321" s="59" t="n">
        <v>46264</v>
      </c>
    </row>
    <row r="322">
      <c r="A322" t="n">
        <v>7772</v>
      </c>
      <c r="B322" t="inlineStr">
        <is>
          <t>CONDULETA LB 2" INTEMPERIE</t>
        </is>
      </c>
      <c r="C322" t="inlineStr">
        <is>
          <t>Materiales</t>
        </is>
      </c>
      <c r="D322" t="inlineStr">
        <is>
          <t>General</t>
        </is>
      </c>
      <c r="E322" t="inlineStr">
        <is>
          <t>Unidad</t>
        </is>
      </c>
      <c r="F322" t="inlineStr">
        <is>
          <t>Generico</t>
        </is>
      </c>
      <c r="G322" t="inlineStr">
        <is>
          <t>-</t>
        </is>
      </c>
      <c r="H322" t="inlineStr">
        <is>
          <t>A4</t>
        </is>
      </c>
      <c r="I322" t="inlineStr">
        <is>
          <t>NO APLICA</t>
        </is>
      </c>
      <c r="J322" t="n">
        <v>5</v>
      </c>
      <c r="K322" t="inlineStr">
        <is>
          <t>Activo</t>
        </is>
      </c>
      <c r="L322" t="inlineStr">
        <is>
          <t>Cargue inicial oficial desde INVENTARIO.xlsx</t>
        </is>
      </c>
      <c r="M322" s="59" t="n">
        <v>46264</v>
      </c>
    </row>
    <row r="323">
      <c r="A323" t="n">
        <v>7773</v>
      </c>
      <c r="B323" t="inlineStr">
        <is>
          <t>CONDULETA LB 2" INTERIOR</t>
        </is>
      </c>
      <c r="C323" t="inlineStr">
        <is>
          <t>Materiales</t>
        </is>
      </c>
      <c r="D323" t="inlineStr">
        <is>
          <t>General</t>
        </is>
      </c>
      <c r="E323" t="inlineStr">
        <is>
          <t>Unidad</t>
        </is>
      </c>
      <c r="F323" t="inlineStr">
        <is>
          <t>Generico</t>
        </is>
      </c>
      <c r="G323" t="inlineStr">
        <is>
          <t>-</t>
        </is>
      </c>
      <c r="H323" t="inlineStr">
        <is>
          <t>A3</t>
        </is>
      </c>
      <c r="I323" t="inlineStr">
        <is>
          <t>NO APLICA</t>
        </is>
      </c>
      <c r="J323" t="n">
        <v>5</v>
      </c>
      <c r="K323" t="inlineStr">
        <is>
          <t>Activo</t>
        </is>
      </c>
      <c r="L323" t="inlineStr">
        <is>
          <t>Cargue inicial oficial desde INVENTARIO.xlsx</t>
        </is>
      </c>
      <c r="M323" s="59" t="n">
        <v>46264</v>
      </c>
    </row>
    <row r="324">
      <c r="A324" t="n">
        <v>7774</v>
      </c>
      <c r="B324" t="inlineStr">
        <is>
          <t>CONDULETA LB 3/4" INTEMPERIE</t>
        </is>
      </c>
      <c r="C324" t="inlineStr">
        <is>
          <t>Materiales</t>
        </is>
      </c>
      <c r="D324" t="inlineStr">
        <is>
          <t>General</t>
        </is>
      </c>
      <c r="E324" t="inlineStr">
        <is>
          <t>Unidad</t>
        </is>
      </c>
      <c r="F324" t="inlineStr">
        <is>
          <t>Generico</t>
        </is>
      </c>
      <c r="G324" t="inlineStr">
        <is>
          <t>-</t>
        </is>
      </c>
      <c r="H324" t="inlineStr">
        <is>
          <t>A3</t>
        </is>
      </c>
      <c r="I324" t="inlineStr">
        <is>
          <t>NO APLICA</t>
        </is>
      </c>
      <c r="J324" t="n">
        <v>5</v>
      </c>
      <c r="K324" t="inlineStr">
        <is>
          <t>Activo</t>
        </is>
      </c>
      <c r="L324" t="inlineStr">
        <is>
          <t>Cargue inicial oficial desde INVENTARIO.xlsx</t>
        </is>
      </c>
      <c r="M324" s="59" t="n">
        <v>46264</v>
      </c>
    </row>
    <row r="325">
      <c r="A325" t="n">
        <v>7775</v>
      </c>
      <c r="B325" t="inlineStr">
        <is>
          <t>CONDULETA LB 3/4" INTERIOR</t>
        </is>
      </c>
      <c r="C325" t="inlineStr">
        <is>
          <t>Materiales</t>
        </is>
      </c>
      <c r="D325" t="inlineStr">
        <is>
          <t>General</t>
        </is>
      </c>
      <c r="E325" t="inlineStr">
        <is>
          <t>Unidad</t>
        </is>
      </c>
      <c r="F325" t="inlineStr">
        <is>
          <t>Generico</t>
        </is>
      </c>
      <c r="G325" t="inlineStr">
        <is>
          <t>-</t>
        </is>
      </c>
      <c r="H325" t="inlineStr">
        <is>
          <t>A5</t>
        </is>
      </c>
      <c r="I325" t="inlineStr">
        <is>
          <t>NO APLICA</t>
        </is>
      </c>
      <c r="J325" t="n">
        <v>5</v>
      </c>
      <c r="K325" t="inlineStr">
        <is>
          <t>Activo</t>
        </is>
      </c>
      <c r="L325" t="inlineStr">
        <is>
          <t>Cargue inicial oficial desde INVENTARIO.xlsx</t>
        </is>
      </c>
      <c r="M325" s="59" t="n">
        <v>46264</v>
      </c>
    </row>
    <row r="326">
      <c r="A326" t="n">
        <v>7776</v>
      </c>
      <c r="B326" t="inlineStr">
        <is>
          <t>CONDULETA LL 1 1/2" INTEMPERIE</t>
        </is>
      </c>
      <c r="C326" t="inlineStr">
        <is>
          <t>Materiales</t>
        </is>
      </c>
      <c r="D326" t="inlineStr">
        <is>
          <t>General</t>
        </is>
      </c>
      <c r="E326" t="inlineStr">
        <is>
          <t>Unidad</t>
        </is>
      </c>
      <c r="F326" t="inlineStr">
        <is>
          <t>Generico</t>
        </is>
      </c>
      <c r="G326" t="inlineStr">
        <is>
          <t>-</t>
        </is>
      </c>
      <c r="H326" t="inlineStr">
        <is>
          <t>A4</t>
        </is>
      </c>
      <c r="I326" t="inlineStr">
        <is>
          <t>NO APLICA</t>
        </is>
      </c>
      <c r="J326" t="n">
        <v>5</v>
      </c>
      <c r="K326" t="inlineStr">
        <is>
          <t>Activo</t>
        </is>
      </c>
      <c r="L326" t="inlineStr">
        <is>
          <t>Cargue inicial oficial desde INVENTARIO.xlsx</t>
        </is>
      </c>
      <c r="M326" s="59" t="n">
        <v>46264</v>
      </c>
    </row>
    <row r="327">
      <c r="A327" t="n">
        <v>7777</v>
      </c>
      <c r="B327" t="inlineStr">
        <is>
          <t>CONDULETA LL 1 1/2" INTERIOR</t>
        </is>
      </c>
      <c r="C327" t="inlineStr">
        <is>
          <t>Materiales</t>
        </is>
      </c>
      <c r="D327" t="inlineStr">
        <is>
          <t>General</t>
        </is>
      </c>
      <c r="E327" t="inlineStr">
        <is>
          <t>Unidad</t>
        </is>
      </c>
      <c r="F327" t="inlineStr">
        <is>
          <t>Generico</t>
        </is>
      </c>
      <c r="G327" t="inlineStr">
        <is>
          <t>-</t>
        </is>
      </c>
      <c r="H327" t="inlineStr">
        <is>
          <t>A5</t>
        </is>
      </c>
      <c r="I327" t="inlineStr">
        <is>
          <t>NO APLICA</t>
        </is>
      </c>
      <c r="J327" t="n">
        <v>5</v>
      </c>
      <c r="K327" t="inlineStr">
        <is>
          <t>Activo</t>
        </is>
      </c>
      <c r="L327" t="inlineStr">
        <is>
          <t>Cargue inicial oficial desde INVENTARIO.xlsx</t>
        </is>
      </c>
      <c r="M327" s="59" t="n">
        <v>46264</v>
      </c>
    </row>
    <row r="328">
      <c r="A328" t="n">
        <v>7778</v>
      </c>
      <c r="B328" t="inlineStr">
        <is>
          <t>B</t>
        </is>
      </c>
      <c r="C328" t="inlineStr">
        <is>
          <t>Materiales</t>
        </is>
      </c>
      <c r="D328" t="inlineStr">
        <is>
          <t>General</t>
        </is>
      </c>
      <c r="E328" t="inlineStr">
        <is>
          <t>Unidad</t>
        </is>
      </c>
      <c r="F328" t="inlineStr">
        <is>
          <t>Generico</t>
        </is>
      </c>
      <c r="G328" t="inlineStr">
        <is>
          <t>-</t>
        </is>
      </c>
      <c r="H328" t="inlineStr">
        <is>
          <t>A5</t>
        </is>
      </c>
      <c r="I328" t="inlineStr">
        <is>
          <t>NO APLICA</t>
        </is>
      </c>
      <c r="J328" t="n">
        <v>5</v>
      </c>
      <c r="K328" t="inlineStr">
        <is>
          <t>Activo</t>
        </is>
      </c>
      <c r="L328" t="inlineStr">
        <is>
          <t>Cargue inicial oficial desde INVENTARIO.xlsx</t>
        </is>
      </c>
      <c r="M328" s="59" t="n">
        <v>46264</v>
      </c>
    </row>
    <row r="329">
      <c r="A329" t="n">
        <v>7779</v>
      </c>
      <c r="B329" t="inlineStr">
        <is>
          <t>CONDULETA LL 1 1/4" INTERIOR</t>
        </is>
      </c>
      <c r="C329" t="inlineStr">
        <is>
          <t>Materiales</t>
        </is>
      </c>
      <c r="D329" t="inlineStr">
        <is>
          <t>General</t>
        </is>
      </c>
      <c r="E329" t="inlineStr">
        <is>
          <t>Unidad</t>
        </is>
      </c>
      <c r="F329" t="inlineStr">
        <is>
          <t>Generico</t>
        </is>
      </c>
      <c r="G329" t="inlineStr">
        <is>
          <t>-</t>
        </is>
      </c>
      <c r="H329" t="inlineStr">
        <is>
          <t>-</t>
        </is>
      </c>
      <c r="I329" t="inlineStr">
        <is>
          <t>NO APLICA</t>
        </is>
      </c>
      <c r="J329" t="n">
        <v>5</v>
      </c>
      <c r="K329" t="inlineStr">
        <is>
          <t>Activo</t>
        </is>
      </c>
      <c r="L329" t="inlineStr">
        <is>
          <t>Cargue inicial oficial desde INVENTARIO.xlsx</t>
        </is>
      </c>
      <c r="M329" s="59" t="n">
        <v>46264</v>
      </c>
    </row>
    <row r="330">
      <c r="A330" t="n">
        <v>7780</v>
      </c>
      <c r="B330" t="inlineStr">
        <is>
          <t>CONDULETA LL 1" EXTERIOR</t>
        </is>
      </c>
      <c r="C330" t="inlineStr">
        <is>
          <t>Materiales</t>
        </is>
      </c>
      <c r="D330" t="inlineStr">
        <is>
          <t>General</t>
        </is>
      </c>
      <c r="E330" t="inlineStr">
        <is>
          <t>Unidad</t>
        </is>
      </c>
      <c r="F330" t="inlineStr">
        <is>
          <t>Generico</t>
        </is>
      </c>
      <c r="G330" t="inlineStr">
        <is>
          <t>-</t>
        </is>
      </c>
      <c r="H330" t="inlineStr">
        <is>
          <t>A5</t>
        </is>
      </c>
      <c r="I330" t="inlineStr">
        <is>
          <t>NO APLICA</t>
        </is>
      </c>
      <c r="J330" t="n">
        <v>5</v>
      </c>
      <c r="K330" t="inlineStr">
        <is>
          <t>Activo</t>
        </is>
      </c>
      <c r="L330" t="inlineStr">
        <is>
          <t>Cargue inicial oficial desde INVENTARIO.xlsx</t>
        </is>
      </c>
      <c r="M330" s="59" t="n">
        <v>46264</v>
      </c>
    </row>
    <row r="331">
      <c r="A331" t="n">
        <v>7781</v>
      </c>
      <c r="B331" t="inlineStr">
        <is>
          <t>CONDULETA LL 1" INTERIOR</t>
        </is>
      </c>
      <c r="C331" t="inlineStr">
        <is>
          <t>Materiales</t>
        </is>
      </c>
      <c r="D331" t="inlineStr">
        <is>
          <t>General</t>
        </is>
      </c>
      <c r="E331" t="inlineStr">
        <is>
          <t>Unidad</t>
        </is>
      </c>
      <c r="F331" t="inlineStr">
        <is>
          <t>Generico</t>
        </is>
      </c>
      <c r="G331" t="inlineStr">
        <is>
          <t>-</t>
        </is>
      </c>
      <c r="H331" t="inlineStr">
        <is>
          <t>A5</t>
        </is>
      </c>
      <c r="I331" t="inlineStr">
        <is>
          <t>NO APLICA</t>
        </is>
      </c>
      <c r="J331" t="n">
        <v>5</v>
      </c>
      <c r="K331" t="inlineStr">
        <is>
          <t>Activo</t>
        </is>
      </c>
      <c r="L331" t="inlineStr">
        <is>
          <t>Cargue inicial oficial desde INVENTARIO.xlsx</t>
        </is>
      </c>
      <c r="M331" s="59" t="n">
        <v>46264</v>
      </c>
    </row>
    <row r="332">
      <c r="A332" t="n">
        <v>7784</v>
      </c>
      <c r="B332" t="inlineStr">
        <is>
          <t>CONDULETA LL 2" INTEMPERIE</t>
        </is>
      </c>
      <c r="C332" t="inlineStr">
        <is>
          <t>Materiales</t>
        </is>
      </c>
      <c r="D332" t="inlineStr">
        <is>
          <t>General</t>
        </is>
      </c>
      <c r="E332" t="inlineStr">
        <is>
          <t>Unidad</t>
        </is>
      </c>
      <c r="F332" t="inlineStr">
        <is>
          <t>Generico</t>
        </is>
      </c>
      <c r="G332" t="inlineStr">
        <is>
          <t>-</t>
        </is>
      </c>
      <c r="H332" t="inlineStr">
        <is>
          <t>A3</t>
        </is>
      </c>
      <c r="I332" t="inlineStr">
        <is>
          <t>NO APLICA</t>
        </is>
      </c>
      <c r="J332" t="n">
        <v>5</v>
      </c>
      <c r="K332" t="inlineStr">
        <is>
          <t>Activo</t>
        </is>
      </c>
      <c r="L332" t="inlineStr">
        <is>
          <t>Cargue inicial oficial desde INVENTARIO.xlsx</t>
        </is>
      </c>
      <c r="M332" s="59" t="n">
        <v>46264</v>
      </c>
    </row>
    <row r="333">
      <c r="A333" t="n">
        <v>7785</v>
      </c>
      <c r="B333" t="inlineStr">
        <is>
          <t>CONDULETA LL 2" INTERIOR</t>
        </is>
      </c>
      <c r="C333" t="inlineStr">
        <is>
          <t>Materiales</t>
        </is>
      </c>
      <c r="D333" t="inlineStr">
        <is>
          <t>General</t>
        </is>
      </c>
      <c r="E333" t="inlineStr">
        <is>
          <t>Unidad</t>
        </is>
      </c>
      <c r="F333" t="inlineStr">
        <is>
          <t>Generico</t>
        </is>
      </c>
      <c r="G333" t="inlineStr">
        <is>
          <t>-</t>
        </is>
      </c>
      <c r="H333" t="inlineStr">
        <is>
          <t>A4</t>
        </is>
      </c>
      <c r="I333" t="inlineStr">
        <is>
          <t>NO APLICA</t>
        </is>
      </c>
      <c r="J333" t="n">
        <v>5</v>
      </c>
      <c r="K333" t="inlineStr">
        <is>
          <t>Activo</t>
        </is>
      </c>
      <c r="L333" t="inlineStr">
        <is>
          <t>Cargue inicial oficial desde INVENTARIO.xlsx</t>
        </is>
      </c>
      <c r="M333" s="59" t="n">
        <v>46264</v>
      </c>
    </row>
    <row r="334">
      <c r="A334" t="n">
        <v>7786</v>
      </c>
      <c r="B334" t="inlineStr">
        <is>
          <t>CONDULETA LL 3/4" INTEMPERIE</t>
        </is>
      </c>
      <c r="C334" t="inlineStr">
        <is>
          <t>Materiales</t>
        </is>
      </c>
      <c r="D334" t="inlineStr">
        <is>
          <t>General</t>
        </is>
      </c>
      <c r="E334" t="inlineStr">
        <is>
          <t>Unidad</t>
        </is>
      </c>
      <c r="F334" t="inlineStr">
        <is>
          <t>Generico</t>
        </is>
      </c>
      <c r="G334" t="inlineStr">
        <is>
          <t>-</t>
        </is>
      </c>
      <c r="H334" t="inlineStr">
        <is>
          <t>A5</t>
        </is>
      </c>
      <c r="I334" t="inlineStr">
        <is>
          <t>NO APLICA</t>
        </is>
      </c>
      <c r="J334" t="n">
        <v>5</v>
      </c>
      <c r="K334" t="inlineStr">
        <is>
          <t>Activo</t>
        </is>
      </c>
      <c r="L334" t="inlineStr">
        <is>
          <t>Cargue inicial oficial desde INVENTARIO.xlsx</t>
        </is>
      </c>
      <c r="M334" s="59" t="n">
        <v>46264</v>
      </c>
    </row>
    <row r="335">
      <c r="A335" t="n">
        <v>7787</v>
      </c>
      <c r="B335" t="inlineStr">
        <is>
          <t>CONDULETA LL 3/4" INTERIOR</t>
        </is>
      </c>
      <c r="C335" t="inlineStr">
        <is>
          <t>Materiales</t>
        </is>
      </c>
      <c r="D335" t="inlineStr">
        <is>
          <t>General</t>
        </is>
      </c>
      <c r="E335" t="inlineStr">
        <is>
          <t>Unidad</t>
        </is>
      </c>
      <c r="F335" t="inlineStr">
        <is>
          <t>Generico</t>
        </is>
      </c>
      <c r="G335" t="inlineStr">
        <is>
          <t>-</t>
        </is>
      </c>
      <c r="H335" t="inlineStr">
        <is>
          <t>A5</t>
        </is>
      </c>
      <c r="I335" t="inlineStr">
        <is>
          <t>NO APLICA</t>
        </is>
      </c>
      <c r="J335" t="n">
        <v>5</v>
      </c>
      <c r="K335" t="inlineStr">
        <is>
          <t>Activo</t>
        </is>
      </c>
      <c r="L335" t="inlineStr">
        <is>
          <t>Cargue inicial oficial desde INVENTARIO.xlsx</t>
        </is>
      </c>
      <c r="M335" s="59" t="n">
        <v>46264</v>
      </c>
    </row>
    <row r="336">
      <c r="A336" t="n">
        <v>7788</v>
      </c>
      <c r="B336" t="inlineStr">
        <is>
          <t>CONDULETA LR 1 1/2" INTEMPERIE</t>
        </is>
      </c>
      <c r="C336" t="inlineStr">
        <is>
          <t>Materiales</t>
        </is>
      </c>
      <c r="D336" t="inlineStr">
        <is>
          <t>General</t>
        </is>
      </c>
      <c r="E336" t="inlineStr">
        <is>
          <t>Unidad</t>
        </is>
      </c>
      <c r="F336" t="inlineStr">
        <is>
          <t>Generico</t>
        </is>
      </c>
      <c r="G336" t="inlineStr">
        <is>
          <t>-</t>
        </is>
      </c>
      <c r="H336" t="inlineStr">
        <is>
          <t>A5</t>
        </is>
      </c>
      <c r="I336" t="inlineStr">
        <is>
          <t>NO APLICA</t>
        </is>
      </c>
      <c r="J336" t="n">
        <v>5</v>
      </c>
      <c r="K336" t="inlineStr">
        <is>
          <t>Activo</t>
        </is>
      </c>
      <c r="L336" t="inlineStr">
        <is>
          <t>Cargue inicial oficial desde INVENTARIO.xlsx</t>
        </is>
      </c>
      <c r="M336" s="59" t="n">
        <v>46264</v>
      </c>
    </row>
    <row r="337">
      <c r="A337" t="n">
        <v>7789</v>
      </c>
      <c r="B337" t="inlineStr">
        <is>
          <t>CONDULETA LR 1 1/2" INTERIOR</t>
        </is>
      </c>
      <c r="C337" t="inlineStr">
        <is>
          <t>Materiales</t>
        </is>
      </c>
      <c r="D337" t="inlineStr">
        <is>
          <t>General</t>
        </is>
      </c>
      <c r="E337" t="inlineStr">
        <is>
          <t>Unidad</t>
        </is>
      </c>
      <c r="F337" t="inlineStr">
        <is>
          <t>Generico</t>
        </is>
      </c>
      <c r="G337" t="inlineStr">
        <is>
          <t>-</t>
        </is>
      </c>
      <c r="H337" t="inlineStr">
        <is>
          <t>A4</t>
        </is>
      </c>
      <c r="I337" t="inlineStr">
        <is>
          <t>NO APLICA</t>
        </is>
      </c>
      <c r="J337" t="n">
        <v>5</v>
      </c>
      <c r="K337" t="inlineStr">
        <is>
          <t>Activo</t>
        </is>
      </c>
      <c r="L337" t="inlineStr">
        <is>
          <t>Cargue inicial oficial desde INVENTARIO.xlsx</t>
        </is>
      </c>
      <c r="M337" s="59" t="n">
        <v>46264</v>
      </c>
    </row>
    <row r="338">
      <c r="A338" t="n">
        <v>7790</v>
      </c>
      <c r="B338" t="inlineStr">
        <is>
          <t>CONDULETA LR 1 1/4" INTEMPERIE</t>
        </is>
      </c>
      <c r="C338" t="inlineStr">
        <is>
          <t>Materiales</t>
        </is>
      </c>
      <c r="D338" t="inlineStr">
        <is>
          <t>General</t>
        </is>
      </c>
      <c r="E338" t="inlineStr">
        <is>
          <t>Unidad</t>
        </is>
      </c>
      <c r="F338" t="inlineStr">
        <is>
          <t>Generico</t>
        </is>
      </c>
      <c r="G338" t="inlineStr">
        <is>
          <t>-</t>
        </is>
      </c>
      <c r="H338" t="inlineStr">
        <is>
          <t>A5</t>
        </is>
      </c>
      <c r="I338" t="inlineStr">
        <is>
          <t>NO APLICA</t>
        </is>
      </c>
      <c r="J338" t="n">
        <v>5</v>
      </c>
      <c r="K338" t="inlineStr">
        <is>
          <t>Activo</t>
        </is>
      </c>
      <c r="L338" t="inlineStr">
        <is>
          <t>Cargue inicial oficial desde INVENTARIO.xlsx</t>
        </is>
      </c>
      <c r="M338" s="59" t="n">
        <v>46264</v>
      </c>
    </row>
    <row r="339">
      <c r="A339" t="n">
        <v>7791</v>
      </c>
      <c r="B339" t="inlineStr">
        <is>
          <t>CONDULETA LR 1 1/4" INTERIOR</t>
        </is>
      </c>
      <c r="C339" t="inlineStr">
        <is>
          <t>Materiales</t>
        </is>
      </c>
      <c r="D339" t="inlineStr">
        <is>
          <t>General</t>
        </is>
      </c>
      <c r="E339" t="inlineStr">
        <is>
          <t>Unidad</t>
        </is>
      </c>
      <c r="F339" t="inlineStr">
        <is>
          <t>Generico</t>
        </is>
      </c>
      <c r="G339" t="inlineStr">
        <is>
          <t>-</t>
        </is>
      </c>
      <c r="H339" t="inlineStr">
        <is>
          <t>-</t>
        </is>
      </c>
      <c r="I339" t="inlineStr">
        <is>
          <t>NO APLICA</t>
        </is>
      </c>
      <c r="J339" t="n">
        <v>5</v>
      </c>
      <c r="K339" t="inlineStr">
        <is>
          <t>Activo</t>
        </is>
      </c>
      <c r="L339" t="inlineStr">
        <is>
          <t>Cargue inicial oficial desde INVENTARIO.xlsx</t>
        </is>
      </c>
      <c r="M339" s="59" t="n">
        <v>46264</v>
      </c>
    </row>
    <row r="340">
      <c r="A340" t="n">
        <v>7792</v>
      </c>
      <c r="B340" t="inlineStr">
        <is>
          <t>CONDULETA LR 1" INTEMPERIE</t>
        </is>
      </c>
      <c r="C340" t="inlineStr">
        <is>
          <t>Materiales</t>
        </is>
      </c>
      <c r="D340" t="inlineStr">
        <is>
          <t>General</t>
        </is>
      </c>
      <c r="E340" t="inlineStr">
        <is>
          <t>Unidad</t>
        </is>
      </c>
      <c r="F340" t="inlineStr">
        <is>
          <t>Generico</t>
        </is>
      </c>
      <c r="G340" t="inlineStr">
        <is>
          <t>-</t>
        </is>
      </c>
      <c r="H340" t="inlineStr">
        <is>
          <t>A5</t>
        </is>
      </c>
      <c r="I340" t="inlineStr">
        <is>
          <t>NO APLICA</t>
        </is>
      </c>
      <c r="J340" t="n">
        <v>5</v>
      </c>
      <c r="K340" t="inlineStr">
        <is>
          <t>Activo</t>
        </is>
      </c>
      <c r="L340" t="inlineStr">
        <is>
          <t>Cargue inicial oficial desde INVENTARIO.xlsx</t>
        </is>
      </c>
      <c r="M340" s="59" t="n">
        <v>46264</v>
      </c>
    </row>
    <row r="341">
      <c r="A341" t="n">
        <v>7793</v>
      </c>
      <c r="B341" t="inlineStr">
        <is>
          <t>CONDULETA LR 1" INTERIOR</t>
        </is>
      </c>
      <c r="C341" t="inlineStr">
        <is>
          <t>Materiales</t>
        </is>
      </c>
      <c r="D341" t="inlineStr">
        <is>
          <t>General</t>
        </is>
      </c>
      <c r="E341" t="inlineStr">
        <is>
          <t>Unidad</t>
        </is>
      </c>
      <c r="F341" t="inlineStr">
        <is>
          <t>Generico</t>
        </is>
      </c>
      <c r="G341" t="inlineStr">
        <is>
          <t>-</t>
        </is>
      </c>
      <c r="H341" t="inlineStr">
        <is>
          <t>A4</t>
        </is>
      </c>
      <c r="I341" t="inlineStr">
        <is>
          <t>NO APLICA</t>
        </is>
      </c>
      <c r="J341" t="n">
        <v>5</v>
      </c>
      <c r="K341" t="inlineStr">
        <is>
          <t>Activo</t>
        </is>
      </c>
      <c r="L341" t="inlineStr">
        <is>
          <t>Cargue inicial oficial desde INVENTARIO.xlsx</t>
        </is>
      </c>
      <c r="M341" s="59" t="n">
        <v>46264</v>
      </c>
    </row>
    <row r="342">
      <c r="A342" t="n">
        <v>7795</v>
      </c>
      <c r="B342" t="inlineStr">
        <is>
          <t>CONDULETA LR 1/2" INTERIOR</t>
        </is>
      </c>
      <c r="C342" t="inlineStr">
        <is>
          <t>Materiales</t>
        </is>
      </c>
      <c r="D342" t="inlineStr">
        <is>
          <t>General</t>
        </is>
      </c>
      <c r="E342" t="inlineStr">
        <is>
          <t>Unidad</t>
        </is>
      </c>
      <c r="F342" t="inlineStr">
        <is>
          <t>Generico</t>
        </is>
      </c>
      <c r="G342" t="inlineStr">
        <is>
          <t>-</t>
        </is>
      </c>
      <c r="H342" t="inlineStr">
        <is>
          <t>A5</t>
        </is>
      </c>
      <c r="I342" t="inlineStr">
        <is>
          <t>NO APLICA</t>
        </is>
      </c>
      <c r="J342" t="n">
        <v>5</v>
      </c>
      <c r="K342" t="inlineStr">
        <is>
          <t>Activo</t>
        </is>
      </c>
      <c r="L342" t="inlineStr">
        <is>
          <t>Cargue inicial oficial desde INVENTARIO.xlsx</t>
        </is>
      </c>
      <c r="M342" s="59" t="n">
        <v>46264</v>
      </c>
    </row>
    <row r="343">
      <c r="A343" t="n">
        <v>7797</v>
      </c>
      <c r="B343" t="inlineStr">
        <is>
          <t>CONDULETA LR 2" INTERIOR</t>
        </is>
      </c>
      <c r="C343" t="inlineStr">
        <is>
          <t>Materiales</t>
        </is>
      </c>
      <c r="D343" t="inlineStr">
        <is>
          <t>General</t>
        </is>
      </c>
      <c r="E343" t="inlineStr">
        <is>
          <t>Unidad</t>
        </is>
      </c>
      <c r="F343" t="inlineStr">
        <is>
          <t>Generico</t>
        </is>
      </c>
      <c r="G343" t="inlineStr">
        <is>
          <t>-</t>
        </is>
      </c>
      <c r="H343" t="inlineStr">
        <is>
          <t>A4</t>
        </is>
      </c>
      <c r="I343" t="inlineStr">
        <is>
          <t>NO APLICA</t>
        </is>
      </c>
      <c r="J343" t="n">
        <v>5</v>
      </c>
      <c r="K343" t="inlineStr">
        <is>
          <t>Activo</t>
        </is>
      </c>
      <c r="L343" t="inlineStr">
        <is>
          <t>Cargue inicial oficial desde INVENTARIO.xlsx</t>
        </is>
      </c>
      <c r="M343" s="59" t="n">
        <v>46264</v>
      </c>
    </row>
    <row r="344">
      <c r="A344" t="n">
        <v>7798</v>
      </c>
      <c r="B344" t="inlineStr">
        <is>
          <t>CONDULETA LR 3/4" INTEMPERIE</t>
        </is>
      </c>
      <c r="C344" t="inlineStr">
        <is>
          <t>Materiales</t>
        </is>
      </c>
      <c r="D344" t="inlineStr">
        <is>
          <t>General</t>
        </is>
      </c>
      <c r="E344" t="inlineStr">
        <is>
          <t>Unidad</t>
        </is>
      </c>
      <c r="F344" t="inlineStr">
        <is>
          <t>Generico</t>
        </is>
      </c>
      <c r="G344" t="inlineStr">
        <is>
          <t>-</t>
        </is>
      </c>
      <c r="H344" t="inlineStr">
        <is>
          <t>A5</t>
        </is>
      </c>
      <c r="I344" t="inlineStr">
        <is>
          <t>NO APLICA</t>
        </is>
      </c>
      <c r="J344" t="n">
        <v>5</v>
      </c>
      <c r="K344" t="inlineStr">
        <is>
          <t>Activo</t>
        </is>
      </c>
      <c r="L344" t="inlineStr">
        <is>
          <t>Cargue inicial oficial desde INVENTARIO.xlsx</t>
        </is>
      </c>
      <c r="M344" s="59" t="n">
        <v>46264</v>
      </c>
    </row>
    <row r="345">
      <c r="A345" t="n">
        <v>7799</v>
      </c>
      <c r="B345" t="inlineStr">
        <is>
          <t>CONDULETA LR 3/4" INTERIOR</t>
        </is>
      </c>
      <c r="C345" t="inlineStr">
        <is>
          <t>Materiales</t>
        </is>
      </c>
      <c r="D345" t="inlineStr">
        <is>
          <t>General</t>
        </is>
      </c>
      <c r="E345" t="inlineStr">
        <is>
          <t>Unidad</t>
        </is>
      </c>
      <c r="F345" t="inlineStr">
        <is>
          <t>Generico</t>
        </is>
      </c>
      <c r="G345" t="inlineStr">
        <is>
          <t>-</t>
        </is>
      </c>
      <c r="H345" t="inlineStr">
        <is>
          <t>A4</t>
        </is>
      </c>
      <c r="I345" t="inlineStr">
        <is>
          <t>NO APLICA</t>
        </is>
      </c>
      <c r="J345" t="n">
        <v>5</v>
      </c>
      <c r="K345" t="inlineStr">
        <is>
          <t>Activo</t>
        </is>
      </c>
      <c r="L345" t="inlineStr">
        <is>
          <t>Cargue inicial oficial desde INVENTARIO.xlsx</t>
        </is>
      </c>
      <c r="M345" s="59" t="n">
        <v>46264</v>
      </c>
    </row>
    <row r="346">
      <c r="A346" t="n">
        <v>7800</v>
      </c>
      <c r="B346" t="inlineStr">
        <is>
          <t>CONDULETA T 1 1/2" INTEMPERIE</t>
        </is>
      </c>
      <c r="C346" t="inlineStr">
        <is>
          <t>Materiales</t>
        </is>
      </c>
      <c r="D346" t="inlineStr">
        <is>
          <t>General</t>
        </is>
      </c>
      <c r="E346" t="inlineStr">
        <is>
          <t>Unidad</t>
        </is>
      </c>
      <c r="F346" t="inlineStr">
        <is>
          <t>Generico</t>
        </is>
      </c>
      <c r="G346" t="inlineStr">
        <is>
          <t>-</t>
        </is>
      </c>
      <c r="H346" t="inlineStr">
        <is>
          <t>A5</t>
        </is>
      </c>
      <c r="I346" t="inlineStr">
        <is>
          <t>NO APLICA</t>
        </is>
      </c>
      <c r="J346" t="n">
        <v>5</v>
      </c>
      <c r="K346" t="inlineStr">
        <is>
          <t>Activo</t>
        </is>
      </c>
      <c r="L346" t="inlineStr">
        <is>
          <t>Cargue inicial oficial desde INVENTARIO.xlsx</t>
        </is>
      </c>
      <c r="M346" s="59" t="n">
        <v>46264</v>
      </c>
    </row>
    <row r="347">
      <c r="A347" t="n">
        <v>7804</v>
      </c>
      <c r="B347" t="inlineStr">
        <is>
          <t>CONDULETA T 1" INTEMPERIE</t>
        </is>
      </c>
      <c r="C347" t="inlineStr">
        <is>
          <t>Materiales</t>
        </is>
      </c>
      <c r="D347" t="inlineStr">
        <is>
          <t>General</t>
        </is>
      </c>
      <c r="E347" t="inlineStr">
        <is>
          <t>Unidad</t>
        </is>
      </c>
      <c r="F347" t="inlineStr">
        <is>
          <t>Generico</t>
        </is>
      </c>
      <c r="G347" t="inlineStr">
        <is>
          <t>-</t>
        </is>
      </c>
      <c r="H347" t="inlineStr">
        <is>
          <t>A4</t>
        </is>
      </c>
      <c r="I347" t="inlineStr">
        <is>
          <t>NO APLICA</t>
        </is>
      </c>
      <c r="J347" t="n">
        <v>5</v>
      </c>
      <c r="K347" t="inlineStr">
        <is>
          <t>Activo</t>
        </is>
      </c>
      <c r="L347" t="inlineStr">
        <is>
          <t>Cargue inicial oficial desde INVENTARIO.xlsx</t>
        </is>
      </c>
      <c r="M347" s="59" t="n">
        <v>46264</v>
      </c>
    </row>
    <row r="348">
      <c r="A348" t="n">
        <v>7807</v>
      </c>
      <c r="B348" t="inlineStr">
        <is>
          <t>CONDULETA T 1/2" INTERIOR</t>
        </is>
      </c>
      <c r="C348" t="inlineStr">
        <is>
          <t>Materiales</t>
        </is>
      </c>
      <c r="D348" t="inlineStr">
        <is>
          <t>General</t>
        </is>
      </c>
      <c r="E348" t="inlineStr">
        <is>
          <t>Unidad</t>
        </is>
      </c>
      <c r="F348" t="inlineStr">
        <is>
          <t>Generico</t>
        </is>
      </c>
      <c r="G348" t="inlineStr">
        <is>
          <t>-</t>
        </is>
      </c>
      <c r="H348" t="inlineStr">
        <is>
          <t>A5</t>
        </is>
      </c>
      <c r="I348" t="inlineStr">
        <is>
          <t>NO APLICA</t>
        </is>
      </c>
      <c r="J348" t="n">
        <v>5</v>
      </c>
      <c r="K348" t="inlineStr">
        <is>
          <t>Activo</t>
        </is>
      </c>
      <c r="L348" t="inlineStr">
        <is>
          <t>Cargue inicial oficial desde INVENTARIO.xlsx</t>
        </is>
      </c>
      <c r="M348" s="59" t="n">
        <v>46264</v>
      </c>
    </row>
    <row r="349">
      <c r="A349" t="n">
        <v>7812</v>
      </c>
      <c r="B349" t="inlineStr">
        <is>
          <t>CORAZA AMERICANA 1 1/2"</t>
        </is>
      </c>
      <c r="C349" t="inlineStr">
        <is>
          <t>Materiales</t>
        </is>
      </c>
      <c r="D349" t="inlineStr">
        <is>
          <t>General</t>
        </is>
      </c>
      <c r="E349" t="inlineStr">
        <is>
          <t>Unidad</t>
        </is>
      </c>
      <c r="F349" t="inlineStr">
        <is>
          <t>Generico</t>
        </is>
      </c>
      <c r="G349" t="inlineStr">
        <is>
          <t>-</t>
        </is>
      </c>
      <c r="H349" t="inlineStr">
        <is>
          <t>-</t>
        </is>
      </c>
      <c r="I349" t="inlineStr">
        <is>
          <t>NO APLICA</t>
        </is>
      </c>
      <c r="J349" t="n">
        <v>5</v>
      </c>
      <c r="K349" t="inlineStr">
        <is>
          <t>Activo</t>
        </is>
      </c>
      <c r="L349" t="inlineStr">
        <is>
          <t>Cargue inicial oficial desde INVENTARIO.xlsx</t>
        </is>
      </c>
      <c r="M349" s="59" t="n">
        <v>46264</v>
      </c>
    </row>
    <row r="350">
      <c r="A350" t="n">
        <v>7813</v>
      </c>
      <c r="B350" t="inlineStr">
        <is>
          <t>CORAZA AMERICANA 1 1/4"</t>
        </is>
      </c>
      <c r="C350" t="inlineStr">
        <is>
          <t>Materiales</t>
        </is>
      </c>
      <c r="D350" t="inlineStr">
        <is>
          <t>General</t>
        </is>
      </c>
      <c r="E350" t="inlineStr">
        <is>
          <t>Unidad</t>
        </is>
      </c>
      <c r="F350" t="inlineStr">
        <is>
          <t>Generico</t>
        </is>
      </c>
      <c r="G350" t="inlineStr">
        <is>
          <t>-</t>
        </is>
      </c>
      <c r="H350" t="inlineStr">
        <is>
          <t>-</t>
        </is>
      </c>
      <c r="I350" t="inlineStr">
        <is>
          <t>NO APLICA</t>
        </is>
      </c>
      <c r="J350" t="n">
        <v>5</v>
      </c>
      <c r="K350" t="inlineStr">
        <is>
          <t>Activo</t>
        </is>
      </c>
      <c r="L350" t="inlineStr">
        <is>
          <t>Cargue inicial oficial desde INVENTARIO.xlsx</t>
        </is>
      </c>
      <c r="M350" s="59" t="n">
        <v>46264</v>
      </c>
    </row>
    <row r="351">
      <c r="A351" t="n">
        <v>7814</v>
      </c>
      <c r="B351" t="inlineStr">
        <is>
          <t>CORAZA AMERICANA 1"</t>
        </is>
      </c>
      <c r="C351" t="inlineStr">
        <is>
          <t>Materiales</t>
        </is>
      </c>
      <c r="D351" t="inlineStr">
        <is>
          <t>General</t>
        </is>
      </c>
      <c r="E351" t="inlineStr">
        <is>
          <t>Unidad</t>
        </is>
      </c>
      <c r="F351" t="inlineStr">
        <is>
          <t>Generico</t>
        </is>
      </c>
      <c r="G351" t="inlineStr">
        <is>
          <t>-</t>
        </is>
      </c>
      <c r="H351" t="inlineStr">
        <is>
          <t>-</t>
        </is>
      </c>
      <c r="I351" t="inlineStr">
        <is>
          <t>NO APLICA</t>
        </is>
      </c>
      <c r="J351" t="n">
        <v>5</v>
      </c>
      <c r="K351" t="inlineStr">
        <is>
          <t>Activo</t>
        </is>
      </c>
      <c r="L351" t="inlineStr">
        <is>
          <t>Cargue inicial oficial desde INVENTARIO.xlsx</t>
        </is>
      </c>
      <c r="M351" s="59" t="n">
        <v>46264</v>
      </c>
    </row>
    <row r="352">
      <c r="A352" t="n">
        <v>7816</v>
      </c>
      <c r="B352" t="inlineStr">
        <is>
          <t>CORAZA AMERICANA 2"</t>
        </is>
      </c>
      <c r="C352" t="inlineStr">
        <is>
          <t>Materiales</t>
        </is>
      </c>
      <c r="D352" t="inlineStr">
        <is>
          <t>General</t>
        </is>
      </c>
      <c r="E352" t="inlineStr">
        <is>
          <t>Unidad</t>
        </is>
      </c>
      <c r="F352" t="inlineStr">
        <is>
          <t>Generico</t>
        </is>
      </c>
      <c r="G352" t="inlineStr">
        <is>
          <t>-</t>
        </is>
      </c>
      <c r="H352" t="inlineStr">
        <is>
          <t>-</t>
        </is>
      </c>
      <c r="I352" t="inlineStr">
        <is>
          <t>NO APLICA</t>
        </is>
      </c>
      <c r="J352" t="n">
        <v>5</v>
      </c>
      <c r="K352" t="inlineStr">
        <is>
          <t>Activo</t>
        </is>
      </c>
      <c r="L352" t="inlineStr">
        <is>
          <t>Cargue inicial oficial desde INVENTARIO.xlsx</t>
        </is>
      </c>
      <c r="M352" s="59" t="n">
        <v>46264</v>
      </c>
    </row>
    <row r="353">
      <c r="A353" t="n">
        <v>7817</v>
      </c>
      <c r="B353" t="inlineStr">
        <is>
          <t>CORAZA AMERICANA 3/4"</t>
        </is>
      </c>
      <c r="C353" t="inlineStr">
        <is>
          <t>Materiales</t>
        </is>
      </c>
      <c r="D353" t="inlineStr">
        <is>
          <t>General</t>
        </is>
      </c>
      <c r="E353" t="inlineStr">
        <is>
          <t>Unidad</t>
        </is>
      </c>
      <c r="F353" t="inlineStr">
        <is>
          <t>Generico</t>
        </is>
      </c>
      <c r="G353" t="inlineStr">
        <is>
          <t>-</t>
        </is>
      </c>
      <c r="H353" t="inlineStr">
        <is>
          <t>-</t>
        </is>
      </c>
      <c r="I353" t="inlineStr">
        <is>
          <t>NO APLICA</t>
        </is>
      </c>
      <c r="J353" t="n">
        <v>5</v>
      </c>
      <c r="K353" t="inlineStr">
        <is>
          <t>Activo</t>
        </is>
      </c>
      <c r="L353" t="inlineStr">
        <is>
          <t>Cargue inicial oficial desde INVENTARIO.xlsx</t>
        </is>
      </c>
      <c r="M353" s="59" t="n">
        <v>46264</v>
      </c>
    </row>
    <row r="354">
      <c r="A354" t="n">
        <v>7820</v>
      </c>
      <c r="B354" t="inlineStr">
        <is>
          <t>CURVA CONDUIT PVC (SCH 40) 1"</t>
        </is>
      </c>
      <c r="C354" t="inlineStr">
        <is>
          <t>Materiales</t>
        </is>
      </c>
      <c r="D354" t="inlineStr">
        <is>
          <t>General</t>
        </is>
      </c>
      <c r="E354" t="inlineStr">
        <is>
          <t>Unidad</t>
        </is>
      </c>
      <c r="F354" t="inlineStr">
        <is>
          <t>Generico</t>
        </is>
      </c>
      <c r="G354" t="inlineStr">
        <is>
          <t>-</t>
        </is>
      </c>
      <c r="H354" t="inlineStr">
        <is>
          <t>-</t>
        </is>
      </c>
      <c r="I354" t="inlineStr">
        <is>
          <t>NO APLICA</t>
        </is>
      </c>
      <c r="J354" t="n">
        <v>5</v>
      </c>
      <c r="K354" t="inlineStr">
        <is>
          <t>Activo</t>
        </is>
      </c>
      <c r="L354" t="inlineStr">
        <is>
          <t>Cargue inicial oficial desde INVENTARIO.xlsx</t>
        </is>
      </c>
      <c r="M354" s="59" t="n">
        <v>46264</v>
      </c>
    </row>
    <row r="355">
      <c r="A355" t="n">
        <v>7824</v>
      </c>
      <c r="B355" t="inlineStr">
        <is>
          <t>CURVA CONDUIT PVC 1 1/2"</t>
        </is>
      </c>
      <c r="C355" t="inlineStr">
        <is>
          <t>Materiales</t>
        </is>
      </c>
      <c r="D355" t="inlineStr">
        <is>
          <t>General</t>
        </is>
      </c>
      <c r="E355" t="inlineStr">
        <is>
          <t>Unidad</t>
        </is>
      </c>
      <c r="F355" t="inlineStr">
        <is>
          <t>Generico</t>
        </is>
      </c>
      <c r="G355" t="inlineStr">
        <is>
          <t>-</t>
        </is>
      </c>
      <c r="H355" t="inlineStr">
        <is>
          <t>-</t>
        </is>
      </c>
      <c r="I355" t="inlineStr">
        <is>
          <t>NO APLICA</t>
        </is>
      </c>
      <c r="J355" t="n">
        <v>5</v>
      </c>
      <c r="K355" t="inlineStr">
        <is>
          <t>Activo</t>
        </is>
      </c>
      <c r="L355" t="inlineStr">
        <is>
          <t>Cargue inicial oficial desde INVENTARIO.xlsx</t>
        </is>
      </c>
      <c r="M355" s="59" t="n">
        <v>46264</v>
      </c>
    </row>
    <row r="356">
      <c r="A356" t="n">
        <v>7825</v>
      </c>
      <c r="B356" t="inlineStr">
        <is>
          <t>CURVA CONDUIT PVC 1 1/4"</t>
        </is>
      </c>
      <c r="C356" t="inlineStr">
        <is>
          <t>Materiales</t>
        </is>
      </c>
      <c r="D356" t="inlineStr">
        <is>
          <t>General</t>
        </is>
      </c>
      <c r="E356" t="inlineStr">
        <is>
          <t>Unidad</t>
        </is>
      </c>
      <c r="F356" t="inlineStr">
        <is>
          <t>Generico</t>
        </is>
      </c>
      <c r="G356" t="inlineStr">
        <is>
          <t>-</t>
        </is>
      </c>
      <c r="H356" t="inlineStr">
        <is>
          <t>-</t>
        </is>
      </c>
      <c r="I356" t="inlineStr">
        <is>
          <t>NO APLICA</t>
        </is>
      </c>
      <c r="J356" t="n">
        <v>5</v>
      </c>
      <c r="K356" t="inlineStr">
        <is>
          <t>Activo</t>
        </is>
      </c>
      <c r="L356" t="inlineStr">
        <is>
          <t>Cargue inicial oficial desde INVENTARIO.xlsx</t>
        </is>
      </c>
      <c r="M356" s="59" t="n">
        <v>46264</v>
      </c>
    </row>
    <row r="357">
      <c r="A357" t="n">
        <v>7826</v>
      </c>
      <c r="B357" t="inlineStr">
        <is>
          <t>CURVA CONDUIT PVC 1"</t>
        </is>
      </c>
      <c r="C357" t="inlineStr">
        <is>
          <t>Materiales</t>
        </is>
      </c>
      <c r="D357" t="inlineStr">
        <is>
          <t>General</t>
        </is>
      </c>
      <c r="E357" t="inlineStr">
        <is>
          <t>Unidad</t>
        </is>
      </c>
      <c r="F357" t="inlineStr">
        <is>
          <t>Generico</t>
        </is>
      </c>
      <c r="G357" t="inlineStr">
        <is>
          <t>-</t>
        </is>
      </c>
      <c r="H357" t="inlineStr">
        <is>
          <t>-</t>
        </is>
      </c>
      <c r="I357" t="inlineStr">
        <is>
          <t>NO APLICA</t>
        </is>
      </c>
      <c r="J357" t="n">
        <v>5</v>
      </c>
      <c r="K357" t="inlineStr">
        <is>
          <t>Activo</t>
        </is>
      </c>
      <c r="L357" t="inlineStr">
        <is>
          <t>Cargue inicial oficial desde INVENTARIO.xlsx</t>
        </is>
      </c>
      <c r="M357" s="59" t="n">
        <v>46264</v>
      </c>
    </row>
    <row r="358">
      <c r="A358" t="n">
        <v>7827</v>
      </c>
      <c r="B358" t="inlineStr">
        <is>
          <t>CURVA CONDUIT PVC 1/2"</t>
        </is>
      </c>
      <c r="C358" t="inlineStr">
        <is>
          <t>Materiales</t>
        </is>
      </c>
      <c r="D358" t="inlineStr">
        <is>
          <t>General</t>
        </is>
      </c>
      <c r="E358" t="inlineStr">
        <is>
          <t>Unidad</t>
        </is>
      </c>
      <c r="F358" t="inlineStr">
        <is>
          <t>Generico</t>
        </is>
      </c>
      <c r="G358" t="inlineStr">
        <is>
          <t>-</t>
        </is>
      </c>
      <c r="H358" t="inlineStr">
        <is>
          <t>-</t>
        </is>
      </c>
      <c r="I358" t="inlineStr">
        <is>
          <t>NO APLICA</t>
        </is>
      </c>
      <c r="J358" t="n">
        <v>5</v>
      </c>
      <c r="K358" t="inlineStr">
        <is>
          <t>Activo</t>
        </is>
      </c>
      <c r="L358" t="inlineStr">
        <is>
          <t>Cargue inicial oficial desde INVENTARIO.xlsx</t>
        </is>
      </c>
      <c r="M358" s="59" t="n">
        <v>46264</v>
      </c>
    </row>
    <row r="359">
      <c r="A359" t="n">
        <v>7829</v>
      </c>
      <c r="B359" t="inlineStr">
        <is>
          <t>CURVA CONDUIT PVC 2"</t>
        </is>
      </c>
      <c r="C359" t="inlineStr">
        <is>
          <t>Materiales</t>
        </is>
      </c>
      <c r="D359" t="inlineStr">
        <is>
          <t>General</t>
        </is>
      </c>
      <c r="E359" t="inlineStr">
        <is>
          <t>Unidad</t>
        </is>
      </c>
      <c r="F359" t="inlineStr">
        <is>
          <t>Generico</t>
        </is>
      </c>
      <c r="G359" t="inlineStr">
        <is>
          <t>-</t>
        </is>
      </c>
      <c r="H359" t="inlineStr">
        <is>
          <t>-</t>
        </is>
      </c>
      <c r="I359" t="inlineStr">
        <is>
          <t>NO APLICA</t>
        </is>
      </c>
      <c r="J359" t="n">
        <v>5</v>
      </c>
      <c r="K359" t="inlineStr">
        <is>
          <t>Activo</t>
        </is>
      </c>
      <c r="L359" t="inlineStr">
        <is>
          <t>Cargue inicial oficial desde INVENTARIO.xlsx</t>
        </is>
      </c>
      <c r="M359" s="59" t="n">
        <v>46264</v>
      </c>
    </row>
    <row r="360">
      <c r="A360" t="n">
        <v>7831</v>
      </c>
      <c r="B360" t="inlineStr">
        <is>
          <t>CURVA CONDUIT PVC 3/4"</t>
        </is>
      </c>
      <c r="C360" t="inlineStr">
        <is>
          <t>Materiales</t>
        </is>
      </c>
      <c r="D360" t="inlineStr">
        <is>
          <t>General</t>
        </is>
      </c>
      <c r="E360" t="inlineStr">
        <is>
          <t>Unidad</t>
        </is>
      </c>
      <c r="F360" t="inlineStr">
        <is>
          <t>Generico</t>
        </is>
      </c>
      <c r="G360" t="inlineStr">
        <is>
          <t>-</t>
        </is>
      </c>
      <c r="H360" t="inlineStr">
        <is>
          <t>-</t>
        </is>
      </c>
      <c r="I360" t="inlineStr">
        <is>
          <t>NO APLICA</t>
        </is>
      </c>
      <c r="J360" t="n">
        <v>5</v>
      </c>
      <c r="K360" t="inlineStr">
        <is>
          <t>Activo</t>
        </is>
      </c>
      <c r="L360" t="inlineStr">
        <is>
          <t>Cargue inicial oficial desde INVENTARIO.xlsx</t>
        </is>
      </c>
      <c r="M360" s="59" t="n">
        <v>46264</v>
      </c>
    </row>
    <row r="361">
      <c r="A361" t="n">
        <v>7832</v>
      </c>
      <c r="B361" t="inlineStr">
        <is>
          <t>CURVA EMT 1 1/2"</t>
        </is>
      </c>
      <c r="C361" t="inlineStr">
        <is>
          <t>Materiales</t>
        </is>
      </c>
      <c r="D361" t="inlineStr">
        <is>
          <t>General</t>
        </is>
      </c>
      <c r="E361" t="inlineStr">
        <is>
          <t>Unidad</t>
        </is>
      </c>
      <c r="F361" t="inlineStr">
        <is>
          <t>Generico</t>
        </is>
      </c>
      <c r="G361" t="inlineStr">
        <is>
          <t>-</t>
        </is>
      </c>
      <c r="H361" t="inlineStr">
        <is>
          <t>-</t>
        </is>
      </c>
      <c r="I361" t="inlineStr">
        <is>
          <t>NO APLICA</t>
        </is>
      </c>
      <c r="J361" t="n">
        <v>5</v>
      </c>
      <c r="K361" t="inlineStr">
        <is>
          <t>Activo</t>
        </is>
      </c>
      <c r="L361" t="inlineStr">
        <is>
          <t>Cargue inicial oficial desde INVENTARIO.xlsx</t>
        </is>
      </c>
      <c r="M361" s="59" t="n">
        <v>46264</v>
      </c>
    </row>
    <row r="362">
      <c r="A362" t="n">
        <v>7834</v>
      </c>
      <c r="B362" t="inlineStr">
        <is>
          <t>CURVA EMT 1"</t>
        </is>
      </c>
      <c r="C362" t="inlineStr">
        <is>
          <t>Materiales</t>
        </is>
      </c>
      <c r="D362" t="inlineStr">
        <is>
          <t>General</t>
        </is>
      </c>
      <c r="E362" t="inlineStr">
        <is>
          <t>Unidad</t>
        </is>
      </c>
      <c r="F362" t="inlineStr">
        <is>
          <t>Generico</t>
        </is>
      </c>
      <c r="G362" t="inlineStr">
        <is>
          <t>-</t>
        </is>
      </c>
      <c r="H362" t="inlineStr">
        <is>
          <t>-</t>
        </is>
      </c>
      <c r="I362" t="inlineStr">
        <is>
          <t>NO APLICA</t>
        </is>
      </c>
      <c r="J362" t="n">
        <v>5</v>
      </c>
      <c r="K362" t="inlineStr">
        <is>
          <t>Activo</t>
        </is>
      </c>
      <c r="L362" t="inlineStr">
        <is>
          <t>Cargue inicial oficial desde INVENTARIO.xlsx</t>
        </is>
      </c>
      <c r="M362" s="59" t="n">
        <v>46264</v>
      </c>
    </row>
    <row r="363">
      <c r="A363" t="n">
        <v>7835</v>
      </c>
      <c r="B363" t="inlineStr">
        <is>
          <t>CURVA EMT 1/2"</t>
        </is>
      </c>
      <c r="C363" t="inlineStr">
        <is>
          <t>Materiales</t>
        </is>
      </c>
      <c r="D363" t="inlineStr">
        <is>
          <t>General</t>
        </is>
      </c>
      <c r="E363" t="inlineStr">
        <is>
          <t>Unidad</t>
        </is>
      </c>
      <c r="F363" t="inlineStr">
        <is>
          <t>Generico</t>
        </is>
      </c>
      <c r="G363" t="inlineStr">
        <is>
          <t>-</t>
        </is>
      </c>
      <c r="H363" t="inlineStr">
        <is>
          <t>-</t>
        </is>
      </c>
      <c r="I363" t="inlineStr">
        <is>
          <t>NO APLICA</t>
        </is>
      </c>
      <c r="J363" t="n">
        <v>5</v>
      </c>
      <c r="K363" t="inlineStr">
        <is>
          <t>Activo</t>
        </is>
      </c>
      <c r="L363" t="inlineStr">
        <is>
          <t>Cargue inicial oficial desde INVENTARIO.xlsx</t>
        </is>
      </c>
      <c r="M363" s="59" t="n">
        <v>46264</v>
      </c>
    </row>
    <row r="364">
      <c r="A364" t="n">
        <v>7837</v>
      </c>
      <c r="B364" t="inlineStr">
        <is>
          <t>CURVA EMT 2"</t>
        </is>
      </c>
      <c r="C364" t="inlineStr">
        <is>
          <t>Materiales</t>
        </is>
      </c>
      <c r="D364" t="inlineStr">
        <is>
          <t>General</t>
        </is>
      </c>
      <c r="E364" t="inlineStr">
        <is>
          <t>Unidad</t>
        </is>
      </c>
      <c r="F364" t="inlineStr">
        <is>
          <t>Generico</t>
        </is>
      </c>
      <c r="G364" t="inlineStr">
        <is>
          <t>-</t>
        </is>
      </c>
      <c r="H364" t="inlineStr">
        <is>
          <t>-</t>
        </is>
      </c>
      <c r="I364" t="inlineStr">
        <is>
          <t>NO APLICA</t>
        </is>
      </c>
      <c r="J364" t="n">
        <v>5</v>
      </c>
      <c r="K364" t="inlineStr">
        <is>
          <t>Activo</t>
        </is>
      </c>
      <c r="L364" t="inlineStr">
        <is>
          <t>Cargue inicial oficial desde INVENTARIO.xlsx</t>
        </is>
      </c>
      <c r="M364" s="59" t="n">
        <v>46264</v>
      </c>
    </row>
    <row r="365">
      <c r="A365" t="n">
        <v>7838</v>
      </c>
      <c r="B365" t="inlineStr">
        <is>
          <t>CURVA EMT 3/4"</t>
        </is>
      </c>
      <c r="C365" t="inlineStr">
        <is>
          <t>Materiales</t>
        </is>
      </c>
      <c r="D365" t="inlineStr">
        <is>
          <t>General</t>
        </is>
      </c>
      <c r="E365" t="inlineStr">
        <is>
          <t>Unidad</t>
        </is>
      </c>
      <c r="F365" t="inlineStr">
        <is>
          <t>Generico</t>
        </is>
      </c>
      <c r="G365" t="inlineStr">
        <is>
          <t>-</t>
        </is>
      </c>
      <c r="H365" t="inlineStr">
        <is>
          <t>-</t>
        </is>
      </c>
      <c r="I365" t="inlineStr">
        <is>
          <t>NO APLICA</t>
        </is>
      </c>
      <c r="J365" t="n">
        <v>5</v>
      </c>
      <c r="K365" t="inlineStr">
        <is>
          <t>Activo</t>
        </is>
      </c>
      <c r="L365" t="inlineStr">
        <is>
          <t>Cargue inicial oficial desde INVENTARIO.xlsx</t>
        </is>
      </c>
      <c r="M365" s="59" t="n">
        <v>46264</v>
      </c>
    </row>
    <row r="366">
      <c r="A366" t="n">
        <v>7839</v>
      </c>
      <c r="B366" t="inlineStr">
        <is>
          <t>CURVA IMC 1 1/2"</t>
        </is>
      </c>
      <c r="C366" t="inlineStr">
        <is>
          <t>Materiales</t>
        </is>
      </c>
      <c r="D366" t="inlineStr">
        <is>
          <t>General</t>
        </is>
      </c>
      <c r="E366" t="inlineStr">
        <is>
          <t>Unidad</t>
        </is>
      </c>
      <c r="F366" t="inlineStr">
        <is>
          <t>Generico</t>
        </is>
      </c>
      <c r="G366" t="inlineStr">
        <is>
          <t>-</t>
        </is>
      </c>
      <c r="H366" t="inlineStr">
        <is>
          <t>-</t>
        </is>
      </c>
      <c r="I366" t="inlineStr">
        <is>
          <t>NO APLICA</t>
        </is>
      </c>
      <c r="J366" t="n">
        <v>5</v>
      </c>
      <c r="K366" t="inlineStr">
        <is>
          <t>Activo</t>
        </is>
      </c>
      <c r="L366" t="inlineStr">
        <is>
          <t>Cargue inicial oficial desde INVENTARIO.xlsx</t>
        </is>
      </c>
      <c r="M366" s="59" t="n">
        <v>46264</v>
      </c>
    </row>
    <row r="367">
      <c r="A367" t="n">
        <v>7841</v>
      </c>
      <c r="B367" t="inlineStr">
        <is>
          <t>CURVA IMC 1"</t>
        </is>
      </c>
      <c r="C367" t="inlineStr">
        <is>
          <t>Materiales</t>
        </is>
      </c>
      <c r="D367" t="inlineStr">
        <is>
          <t>General</t>
        </is>
      </c>
      <c r="E367" t="inlineStr">
        <is>
          <t>Unidad</t>
        </is>
      </c>
      <c r="F367" t="inlineStr">
        <is>
          <t>Generico</t>
        </is>
      </c>
      <c r="G367" t="inlineStr">
        <is>
          <t>-</t>
        </is>
      </c>
      <c r="H367" t="inlineStr">
        <is>
          <t>-</t>
        </is>
      </c>
      <c r="I367" t="inlineStr">
        <is>
          <t>NO APLICA</t>
        </is>
      </c>
      <c r="J367" t="n">
        <v>5</v>
      </c>
      <c r="K367" t="inlineStr">
        <is>
          <t>Activo</t>
        </is>
      </c>
      <c r="L367" t="inlineStr">
        <is>
          <t>Cargue inicial oficial desde INVENTARIO.xlsx</t>
        </is>
      </c>
      <c r="M367" s="59" t="n">
        <v>46264</v>
      </c>
    </row>
    <row r="368">
      <c r="A368" t="n">
        <v>7844</v>
      </c>
      <c r="B368" t="inlineStr">
        <is>
          <t>CURVA IMC 2"</t>
        </is>
      </c>
      <c r="C368" t="inlineStr">
        <is>
          <t>Materiales</t>
        </is>
      </c>
      <c r="D368" t="inlineStr">
        <is>
          <t>General</t>
        </is>
      </c>
      <c r="E368" t="inlineStr">
        <is>
          <t>Unidad</t>
        </is>
      </c>
      <c r="F368" t="inlineStr">
        <is>
          <t>Generico</t>
        </is>
      </c>
      <c r="G368" t="inlineStr">
        <is>
          <t>-</t>
        </is>
      </c>
      <c r="H368" t="inlineStr">
        <is>
          <t>-</t>
        </is>
      </c>
      <c r="I368" t="inlineStr">
        <is>
          <t>NO APLICA</t>
        </is>
      </c>
      <c r="J368" t="n">
        <v>5</v>
      </c>
      <c r="K368" t="inlineStr">
        <is>
          <t>Activo</t>
        </is>
      </c>
      <c r="L368" t="inlineStr">
        <is>
          <t>Cargue inicial oficial desde INVENTARIO.xlsx</t>
        </is>
      </c>
      <c r="M368" s="59" t="n">
        <v>46264</v>
      </c>
    </row>
    <row r="369">
      <c r="A369" t="n">
        <v>7845</v>
      </c>
      <c r="B369" t="inlineStr">
        <is>
          <t>CURVA IMC 3/4"</t>
        </is>
      </c>
      <c r="C369" t="inlineStr">
        <is>
          <t>Materiales</t>
        </is>
      </c>
      <c r="D369" t="inlineStr">
        <is>
          <t>General</t>
        </is>
      </c>
      <c r="E369" t="inlineStr">
        <is>
          <t>Unidad</t>
        </is>
      </c>
      <c r="F369" t="inlineStr">
        <is>
          <t>Generico</t>
        </is>
      </c>
      <c r="G369" t="inlineStr">
        <is>
          <t>-</t>
        </is>
      </c>
      <c r="H369" t="inlineStr">
        <is>
          <t>-</t>
        </is>
      </c>
      <c r="I369" t="inlineStr">
        <is>
          <t>NO APLICA</t>
        </is>
      </c>
      <c r="J369" t="n">
        <v>5</v>
      </c>
      <c r="K369" t="inlineStr">
        <is>
          <t>Activo</t>
        </is>
      </c>
      <c r="L369" t="inlineStr">
        <is>
          <t>Cargue inicial oficial desde INVENTARIO.xlsx</t>
        </is>
      </c>
      <c r="M369" s="59" t="n">
        <v>46264</v>
      </c>
    </row>
    <row r="370">
      <c r="A370" t="n">
        <v>7896</v>
      </c>
      <c r="B370" t="inlineStr">
        <is>
          <t>TERMINAL EMT 1 1/2"</t>
        </is>
      </c>
      <c r="C370" t="inlineStr">
        <is>
          <t>Elementos electricos</t>
        </is>
      </c>
      <c r="D370" t="inlineStr">
        <is>
          <t>General</t>
        </is>
      </c>
      <c r="E370" t="inlineStr">
        <is>
          <t>Unidad</t>
        </is>
      </c>
      <c r="F370" t="inlineStr">
        <is>
          <t>Generico</t>
        </is>
      </c>
      <c r="G370" t="inlineStr">
        <is>
          <t>-</t>
        </is>
      </c>
      <c r="H370" t="inlineStr">
        <is>
          <t>-</t>
        </is>
      </c>
      <c r="I370" t="inlineStr">
        <is>
          <t>NO APLICA</t>
        </is>
      </c>
      <c r="J370" t="n">
        <v>5</v>
      </c>
      <c r="K370" t="inlineStr">
        <is>
          <t>Activo</t>
        </is>
      </c>
      <c r="L370" t="inlineStr">
        <is>
          <t>Cargue inicial oficial desde INVENTARIO.xlsx</t>
        </is>
      </c>
      <c r="M370" s="59" t="n">
        <v>46264</v>
      </c>
    </row>
    <row r="371">
      <c r="A371" t="n">
        <v>7898</v>
      </c>
      <c r="B371" t="inlineStr">
        <is>
          <t>TERMINAL EMT 1"</t>
        </is>
      </c>
      <c r="C371" t="inlineStr">
        <is>
          <t>Elementos electricos</t>
        </is>
      </c>
      <c r="D371" t="inlineStr">
        <is>
          <t>General</t>
        </is>
      </c>
      <c r="E371" t="inlineStr">
        <is>
          <t>Unidad</t>
        </is>
      </c>
      <c r="F371" t="inlineStr">
        <is>
          <t>Generico</t>
        </is>
      </c>
      <c r="G371" t="inlineStr">
        <is>
          <t>-</t>
        </is>
      </c>
      <c r="H371" t="inlineStr">
        <is>
          <t>-</t>
        </is>
      </c>
      <c r="I371" t="inlineStr">
        <is>
          <t>NO APLICA</t>
        </is>
      </c>
      <c r="J371" t="n">
        <v>5</v>
      </c>
      <c r="K371" t="inlineStr">
        <is>
          <t>Activo</t>
        </is>
      </c>
      <c r="L371" t="inlineStr">
        <is>
          <t>Cargue inicial oficial desde INVENTARIO.xlsx</t>
        </is>
      </c>
      <c r="M371" s="59" t="n">
        <v>46264</v>
      </c>
    </row>
    <row r="372">
      <c r="A372" t="n">
        <v>7899</v>
      </c>
      <c r="B372" t="inlineStr">
        <is>
          <t>TERMINAL EMT 1/2"</t>
        </is>
      </c>
      <c r="C372" t="inlineStr">
        <is>
          <t>Elementos electricos</t>
        </is>
      </c>
      <c r="D372" t="inlineStr">
        <is>
          <t>General</t>
        </is>
      </c>
      <c r="E372" t="inlineStr">
        <is>
          <t>Unidad</t>
        </is>
      </c>
      <c r="F372" t="inlineStr">
        <is>
          <t>Generico</t>
        </is>
      </c>
      <c r="G372" t="inlineStr">
        <is>
          <t>-</t>
        </is>
      </c>
      <c r="H372" t="inlineStr">
        <is>
          <t>-</t>
        </is>
      </c>
      <c r="I372" t="inlineStr">
        <is>
          <t>NO APLICA</t>
        </is>
      </c>
      <c r="J372" t="n">
        <v>5</v>
      </c>
      <c r="K372" t="inlineStr">
        <is>
          <t>Activo</t>
        </is>
      </c>
      <c r="L372" t="inlineStr">
        <is>
          <t>Cargue inicial oficial desde INVENTARIO.xlsx</t>
        </is>
      </c>
      <c r="M372" s="59" t="n">
        <v>46264</v>
      </c>
    </row>
    <row r="373">
      <c r="A373" t="n">
        <v>7900</v>
      </c>
      <c r="B373" t="inlineStr">
        <is>
          <t>TERMINAL EMT 2"</t>
        </is>
      </c>
      <c r="C373" t="inlineStr">
        <is>
          <t>Elementos electricos</t>
        </is>
      </c>
      <c r="D373" t="inlineStr">
        <is>
          <t>General</t>
        </is>
      </c>
      <c r="E373" t="inlineStr">
        <is>
          <t>Unidad</t>
        </is>
      </c>
      <c r="F373" t="inlineStr">
        <is>
          <t>Generico</t>
        </is>
      </c>
      <c r="G373" t="inlineStr">
        <is>
          <t>-</t>
        </is>
      </c>
      <c r="H373" t="inlineStr">
        <is>
          <t>-</t>
        </is>
      </c>
      <c r="I373" t="inlineStr">
        <is>
          <t>NO APLICA</t>
        </is>
      </c>
      <c r="J373" t="n">
        <v>5</v>
      </c>
      <c r="K373" t="inlineStr">
        <is>
          <t>Activo</t>
        </is>
      </c>
      <c r="L373" t="inlineStr">
        <is>
          <t>Cargue inicial oficial desde INVENTARIO.xlsx</t>
        </is>
      </c>
      <c r="M373" s="59" t="n">
        <v>46264</v>
      </c>
    </row>
    <row r="374">
      <c r="A374" t="n">
        <v>7901</v>
      </c>
      <c r="B374" t="inlineStr">
        <is>
          <t>TERMINAL EMT 3/4"</t>
        </is>
      </c>
      <c r="C374" t="inlineStr">
        <is>
          <t>Elementos electricos</t>
        </is>
      </c>
      <c r="D374" t="inlineStr">
        <is>
          <t>General</t>
        </is>
      </c>
      <c r="E374" t="inlineStr">
        <is>
          <t>Unidad</t>
        </is>
      </c>
      <c r="F374" t="inlineStr">
        <is>
          <t>Generico</t>
        </is>
      </c>
      <c r="G374" t="inlineStr">
        <is>
          <t>-</t>
        </is>
      </c>
      <c r="H374" t="inlineStr">
        <is>
          <t>-</t>
        </is>
      </c>
      <c r="I374" t="inlineStr">
        <is>
          <t>NO APLICA</t>
        </is>
      </c>
      <c r="J374" t="n">
        <v>5</v>
      </c>
      <c r="K374" t="inlineStr">
        <is>
          <t>Activo</t>
        </is>
      </c>
      <c r="L374" t="inlineStr">
        <is>
          <t>Cargue inicial oficial desde INVENTARIO.xlsx</t>
        </is>
      </c>
      <c r="M374" s="59" t="n">
        <v>46264</v>
      </c>
    </row>
    <row r="375">
      <c r="A375" t="n">
        <v>7904</v>
      </c>
      <c r="B375" t="inlineStr">
        <is>
          <t>TUBO CONDUIT PVC (SCH 40) 1"</t>
        </is>
      </c>
      <c r="C375" t="inlineStr">
        <is>
          <t>Materiales</t>
        </is>
      </c>
      <c r="D375" t="inlineStr">
        <is>
          <t>General</t>
        </is>
      </c>
      <c r="E375" t="inlineStr">
        <is>
          <t>Unidad</t>
        </is>
      </c>
      <c r="F375" t="inlineStr">
        <is>
          <t>Generico</t>
        </is>
      </c>
      <c r="G375" t="inlineStr">
        <is>
          <t>-</t>
        </is>
      </c>
      <c r="H375" t="inlineStr">
        <is>
          <t>-</t>
        </is>
      </c>
      <c r="I375" t="inlineStr">
        <is>
          <t>NO APLICA</t>
        </is>
      </c>
      <c r="J375" t="n">
        <v>5</v>
      </c>
      <c r="K375" t="inlineStr">
        <is>
          <t>Activo</t>
        </is>
      </c>
      <c r="L375" t="inlineStr">
        <is>
          <t>Cargue inicial oficial desde INVENTARIO.xlsx</t>
        </is>
      </c>
      <c r="M375" s="59" t="n">
        <v>46264</v>
      </c>
    </row>
    <row r="376">
      <c r="A376" t="n">
        <v>7906</v>
      </c>
      <c r="B376" t="inlineStr">
        <is>
          <t>TUBO CONDUIT PVC (SCH 40) 2"</t>
        </is>
      </c>
      <c r="C376" t="inlineStr">
        <is>
          <t>Materiales</t>
        </is>
      </c>
      <c r="D376" t="inlineStr">
        <is>
          <t>General</t>
        </is>
      </c>
      <c r="E376" t="inlineStr">
        <is>
          <t>Unidad</t>
        </is>
      </c>
      <c r="F376" t="inlineStr">
        <is>
          <t>Generico</t>
        </is>
      </c>
      <c r="G376" t="inlineStr">
        <is>
          <t>-</t>
        </is>
      </c>
      <c r="H376" t="inlineStr">
        <is>
          <t>-</t>
        </is>
      </c>
      <c r="I376" t="inlineStr">
        <is>
          <t>NO APLICA</t>
        </is>
      </c>
      <c r="J376" t="n">
        <v>5</v>
      </c>
      <c r="K376" t="inlineStr">
        <is>
          <t>Activo</t>
        </is>
      </c>
      <c r="L376" t="inlineStr">
        <is>
          <t>Cargue inicial oficial desde INVENTARIO.xlsx</t>
        </is>
      </c>
      <c r="M376" s="59" t="n">
        <v>46264</v>
      </c>
    </row>
    <row r="377">
      <c r="A377" t="n">
        <v>7908</v>
      </c>
      <c r="B377" t="inlineStr">
        <is>
          <t>TUBO CONDUIT PVC (SCH 40) 3/4"</t>
        </is>
      </c>
      <c r="C377" t="inlineStr">
        <is>
          <t>Materiales</t>
        </is>
      </c>
      <c r="D377" t="inlineStr">
        <is>
          <t>General</t>
        </is>
      </c>
      <c r="E377" t="inlineStr">
        <is>
          <t>Unidad</t>
        </is>
      </c>
      <c r="F377" t="inlineStr">
        <is>
          <t>Generico</t>
        </is>
      </c>
      <c r="G377" t="inlineStr">
        <is>
          <t>-</t>
        </is>
      </c>
      <c r="H377" t="inlineStr">
        <is>
          <t>-</t>
        </is>
      </c>
      <c r="I377" t="inlineStr">
        <is>
          <t>NO APLICA</t>
        </is>
      </c>
      <c r="J377" t="n">
        <v>5</v>
      </c>
      <c r="K377" t="inlineStr">
        <is>
          <t>Activo</t>
        </is>
      </c>
      <c r="L377" t="inlineStr">
        <is>
          <t>Cargue inicial oficial desde INVENTARIO.xlsx</t>
        </is>
      </c>
      <c r="M377" s="59" t="n">
        <v>46264</v>
      </c>
    </row>
    <row r="378">
      <c r="A378" t="n">
        <v>7909</v>
      </c>
      <c r="B378" t="inlineStr">
        <is>
          <t>TUBO CONDUIT PVC 1 1/2"</t>
        </is>
      </c>
      <c r="C378" t="inlineStr">
        <is>
          <t>Materiales</t>
        </is>
      </c>
      <c r="D378" t="inlineStr">
        <is>
          <t>General</t>
        </is>
      </c>
      <c r="E378" t="inlineStr">
        <is>
          <t>Unidad</t>
        </is>
      </c>
      <c r="F378" t="inlineStr">
        <is>
          <t>Generico</t>
        </is>
      </c>
      <c r="G378" t="inlineStr">
        <is>
          <t>-</t>
        </is>
      </c>
      <c r="H378" t="inlineStr">
        <is>
          <t>-</t>
        </is>
      </c>
      <c r="I378" t="inlineStr">
        <is>
          <t>NO APLICA</t>
        </is>
      </c>
      <c r="J378" t="n">
        <v>5</v>
      </c>
      <c r="K378" t="inlineStr">
        <is>
          <t>Activo</t>
        </is>
      </c>
      <c r="L378" t="inlineStr">
        <is>
          <t>Cargue inicial oficial desde INVENTARIO.xlsx</t>
        </is>
      </c>
      <c r="M378" s="59" t="n">
        <v>46264</v>
      </c>
    </row>
    <row r="379">
      <c r="A379" t="n">
        <v>7911</v>
      </c>
      <c r="B379" t="inlineStr">
        <is>
          <t>TUBO CONDUIT PVC 1"</t>
        </is>
      </c>
      <c r="C379" t="inlineStr">
        <is>
          <t>Materiales</t>
        </is>
      </c>
      <c r="D379" t="inlineStr">
        <is>
          <t>General</t>
        </is>
      </c>
      <c r="E379" t="inlineStr">
        <is>
          <t>Unidad</t>
        </is>
      </c>
      <c r="F379" t="inlineStr">
        <is>
          <t>Generico</t>
        </is>
      </c>
      <c r="G379" t="inlineStr">
        <is>
          <t>-</t>
        </is>
      </c>
      <c r="H379" t="inlineStr">
        <is>
          <t>-</t>
        </is>
      </c>
      <c r="I379" t="inlineStr">
        <is>
          <t>NO APLICA</t>
        </is>
      </c>
      <c r="J379" t="n">
        <v>5</v>
      </c>
      <c r="K379" t="inlineStr">
        <is>
          <t>Activo</t>
        </is>
      </c>
      <c r="L379" t="inlineStr">
        <is>
          <t>Cargue inicial oficial desde INVENTARIO.xlsx</t>
        </is>
      </c>
      <c r="M379" s="59" t="n">
        <v>46264</v>
      </c>
    </row>
    <row r="380">
      <c r="A380" t="n">
        <v>7912</v>
      </c>
      <c r="B380" t="inlineStr">
        <is>
          <t>TUBO CONDUIT PVC 1/2"</t>
        </is>
      </c>
      <c r="C380" t="inlineStr">
        <is>
          <t>Materiales</t>
        </is>
      </c>
      <c r="D380" t="inlineStr">
        <is>
          <t>General</t>
        </is>
      </c>
      <c r="E380" t="inlineStr">
        <is>
          <t>Unidad</t>
        </is>
      </c>
      <c r="F380" t="inlineStr">
        <is>
          <t>Generico</t>
        </is>
      </c>
      <c r="G380" t="inlineStr">
        <is>
          <t>-</t>
        </is>
      </c>
      <c r="H380" t="inlineStr">
        <is>
          <t>-</t>
        </is>
      </c>
      <c r="I380" t="inlineStr">
        <is>
          <t>NO APLICA</t>
        </is>
      </c>
      <c r="J380" t="n">
        <v>5</v>
      </c>
      <c r="K380" t="inlineStr">
        <is>
          <t>Activo</t>
        </is>
      </c>
      <c r="L380" t="inlineStr">
        <is>
          <t>Cargue inicial oficial desde INVENTARIO.xlsx</t>
        </is>
      </c>
      <c r="M380" s="59" t="n">
        <v>46264</v>
      </c>
    </row>
    <row r="381">
      <c r="A381" t="n">
        <v>7915</v>
      </c>
      <c r="B381" t="inlineStr">
        <is>
          <t>TUBO CONDUIT PVC 3/4"</t>
        </is>
      </c>
      <c r="C381" t="inlineStr">
        <is>
          <t>Materiales</t>
        </is>
      </c>
      <c r="D381" t="inlineStr">
        <is>
          <t>General</t>
        </is>
      </c>
      <c r="E381" t="inlineStr">
        <is>
          <t>Unidad</t>
        </is>
      </c>
      <c r="F381" t="inlineStr">
        <is>
          <t>Generico</t>
        </is>
      </c>
      <c r="G381" t="inlineStr">
        <is>
          <t>-</t>
        </is>
      </c>
      <c r="H381" t="inlineStr">
        <is>
          <t>-</t>
        </is>
      </c>
      <c r="I381" t="inlineStr">
        <is>
          <t>NO APLICA</t>
        </is>
      </c>
      <c r="J381" t="n">
        <v>5</v>
      </c>
      <c r="K381" t="inlineStr">
        <is>
          <t>Activo</t>
        </is>
      </c>
      <c r="L381" t="inlineStr">
        <is>
          <t>Cargue inicial oficial desde INVENTARIO.xlsx</t>
        </is>
      </c>
      <c r="M381" s="59" t="n">
        <v>46264</v>
      </c>
    </row>
    <row r="382">
      <c r="A382" t="n">
        <v>7923</v>
      </c>
      <c r="B382" t="inlineStr">
        <is>
          <t>TUBO EMT 1 1/2"</t>
        </is>
      </c>
      <c r="C382" t="inlineStr">
        <is>
          <t>Materiales</t>
        </is>
      </c>
      <c r="D382" t="inlineStr">
        <is>
          <t>General</t>
        </is>
      </c>
      <c r="E382" t="inlineStr">
        <is>
          <t>Unidad</t>
        </is>
      </c>
      <c r="F382" t="inlineStr">
        <is>
          <t>Generico</t>
        </is>
      </c>
      <c r="G382" t="inlineStr">
        <is>
          <t>-</t>
        </is>
      </c>
      <c r="H382" t="inlineStr">
        <is>
          <t>-</t>
        </is>
      </c>
      <c r="I382" t="inlineStr">
        <is>
          <t>NO APLICA</t>
        </is>
      </c>
      <c r="J382" t="n">
        <v>5</v>
      </c>
      <c r="K382" t="inlineStr">
        <is>
          <t>Activo</t>
        </is>
      </c>
      <c r="L382" t="inlineStr">
        <is>
          <t>Cargue inicial oficial desde INVENTARIO.xlsx</t>
        </is>
      </c>
      <c r="M382" s="59" t="n">
        <v>46264</v>
      </c>
    </row>
    <row r="383">
      <c r="A383" t="n">
        <v>7924</v>
      </c>
      <c r="B383" t="inlineStr">
        <is>
          <t>TUBO EMT 1 1/4"</t>
        </is>
      </c>
      <c r="C383" t="inlineStr">
        <is>
          <t>Materiales</t>
        </is>
      </c>
      <c r="D383" t="inlineStr">
        <is>
          <t>General</t>
        </is>
      </c>
      <c r="E383" t="inlineStr">
        <is>
          <t>Unidad</t>
        </is>
      </c>
      <c r="F383" t="inlineStr">
        <is>
          <t>Generico</t>
        </is>
      </c>
      <c r="G383" t="inlineStr">
        <is>
          <t>-</t>
        </is>
      </c>
      <c r="H383" t="inlineStr">
        <is>
          <t>-</t>
        </is>
      </c>
      <c r="I383" t="inlineStr">
        <is>
          <t>NO APLICA</t>
        </is>
      </c>
      <c r="J383" t="n">
        <v>5</v>
      </c>
      <c r="K383" t="inlineStr">
        <is>
          <t>Activo</t>
        </is>
      </c>
      <c r="L383" t="inlineStr">
        <is>
          <t>Cargue inicial oficial desde INVENTARIO.xlsx</t>
        </is>
      </c>
      <c r="M383" s="59" t="n">
        <v>46264</v>
      </c>
    </row>
    <row r="384">
      <c r="A384" t="n">
        <v>7925</v>
      </c>
      <c r="B384" t="inlineStr">
        <is>
          <t>TUBO EMT 1"</t>
        </is>
      </c>
      <c r="C384" t="inlineStr">
        <is>
          <t>Materiales</t>
        </is>
      </c>
      <c r="D384" t="inlineStr">
        <is>
          <t>General</t>
        </is>
      </c>
      <c r="E384" t="inlineStr">
        <is>
          <t>Unidad</t>
        </is>
      </c>
      <c r="F384" t="inlineStr">
        <is>
          <t>Generico</t>
        </is>
      </c>
      <c r="G384" t="inlineStr">
        <is>
          <t>-</t>
        </is>
      </c>
      <c r="H384" t="inlineStr">
        <is>
          <t>-</t>
        </is>
      </c>
      <c r="I384" t="inlineStr">
        <is>
          <t>NO APLICA</t>
        </is>
      </c>
      <c r="J384" t="n">
        <v>5</v>
      </c>
      <c r="K384" t="inlineStr">
        <is>
          <t>Activo</t>
        </is>
      </c>
      <c r="L384" t="inlineStr">
        <is>
          <t>Cargue inicial oficial desde INVENTARIO.xlsx</t>
        </is>
      </c>
      <c r="M384" s="59" t="n">
        <v>46264</v>
      </c>
    </row>
    <row r="385">
      <c r="A385" t="n">
        <v>7926</v>
      </c>
      <c r="B385" t="inlineStr">
        <is>
          <t>TUBO EMT 1/2"</t>
        </is>
      </c>
      <c r="C385" t="inlineStr">
        <is>
          <t>Materiales</t>
        </is>
      </c>
      <c r="D385" t="inlineStr">
        <is>
          <t>General</t>
        </is>
      </c>
      <c r="E385" t="inlineStr">
        <is>
          <t>Unidad</t>
        </is>
      </c>
      <c r="F385" t="inlineStr">
        <is>
          <t>Generico</t>
        </is>
      </c>
      <c r="G385" t="inlineStr">
        <is>
          <t>-</t>
        </is>
      </c>
      <c r="H385" t="inlineStr">
        <is>
          <t>-</t>
        </is>
      </c>
      <c r="I385" t="inlineStr">
        <is>
          <t>NO APLICA</t>
        </is>
      </c>
      <c r="J385" t="n">
        <v>5</v>
      </c>
      <c r="K385" t="inlineStr">
        <is>
          <t>Activo</t>
        </is>
      </c>
      <c r="L385" t="inlineStr">
        <is>
          <t>Cargue inicial oficial desde INVENTARIO.xlsx</t>
        </is>
      </c>
      <c r="M385" s="59" t="n">
        <v>46264</v>
      </c>
    </row>
    <row r="386">
      <c r="A386" t="n">
        <v>7927</v>
      </c>
      <c r="B386" t="inlineStr">
        <is>
          <t>TUBO EMT 2"</t>
        </is>
      </c>
      <c r="C386" t="inlineStr">
        <is>
          <t>Materiales</t>
        </is>
      </c>
      <c r="D386" t="inlineStr">
        <is>
          <t>General</t>
        </is>
      </c>
      <c r="E386" t="inlineStr">
        <is>
          <t>Unidad</t>
        </is>
      </c>
      <c r="F386" t="inlineStr">
        <is>
          <t>Generico</t>
        </is>
      </c>
      <c r="G386" t="inlineStr">
        <is>
          <t>-</t>
        </is>
      </c>
      <c r="H386" t="inlineStr">
        <is>
          <t>-</t>
        </is>
      </c>
      <c r="I386" t="inlineStr">
        <is>
          <t>NO APLICA</t>
        </is>
      </c>
      <c r="J386" t="n">
        <v>5</v>
      </c>
      <c r="K386" t="inlineStr">
        <is>
          <t>Activo</t>
        </is>
      </c>
      <c r="L386" t="inlineStr">
        <is>
          <t>Cargue inicial oficial desde INVENTARIO.xlsx</t>
        </is>
      </c>
      <c r="M386" s="59" t="n">
        <v>46264</v>
      </c>
    </row>
    <row r="387">
      <c r="A387" t="n">
        <v>7928</v>
      </c>
      <c r="B387" t="inlineStr">
        <is>
          <t>TUBO EMT 3/4"</t>
        </is>
      </c>
      <c r="C387" t="inlineStr">
        <is>
          <t>Materiales</t>
        </is>
      </c>
      <c r="D387" t="inlineStr">
        <is>
          <t>General</t>
        </is>
      </c>
      <c r="E387" t="inlineStr">
        <is>
          <t>Unidad</t>
        </is>
      </c>
      <c r="F387" t="inlineStr">
        <is>
          <t>Generico</t>
        </is>
      </c>
      <c r="G387" t="inlineStr">
        <is>
          <t>-</t>
        </is>
      </c>
      <c r="H387" t="inlineStr">
        <is>
          <t>-</t>
        </is>
      </c>
      <c r="I387" t="inlineStr">
        <is>
          <t>NO APLICA</t>
        </is>
      </c>
      <c r="J387" t="n">
        <v>5</v>
      </c>
      <c r="K387" t="inlineStr">
        <is>
          <t>Activo</t>
        </is>
      </c>
      <c r="L387" t="inlineStr">
        <is>
          <t>Cargue inicial oficial desde INVENTARIO.xlsx</t>
        </is>
      </c>
      <c r="M387" s="59" t="n">
        <v>46264</v>
      </c>
    </row>
    <row r="388">
      <c r="A388" t="n">
        <v>7930</v>
      </c>
      <c r="B388" t="inlineStr">
        <is>
          <t>TUBO IMC 1 1/4"</t>
        </is>
      </c>
      <c r="C388" t="inlineStr">
        <is>
          <t>Materiales</t>
        </is>
      </c>
      <c r="D388" t="inlineStr">
        <is>
          <t>General</t>
        </is>
      </c>
      <c r="E388" t="inlineStr">
        <is>
          <t>Unidad</t>
        </is>
      </c>
      <c r="F388" t="inlineStr">
        <is>
          <t>Generico</t>
        </is>
      </c>
      <c r="G388" t="inlineStr">
        <is>
          <t>-</t>
        </is>
      </c>
      <c r="H388" t="inlineStr">
        <is>
          <t>-</t>
        </is>
      </c>
      <c r="I388" t="inlineStr">
        <is>
          <t>NO APLICA</t>
        </is>
      </c>
      <c r="J388" t="n">
        <v>5</v>
      </c>
      <c r="K388" t="inlineStr">
        <is>
          <t>Activo</t>
        </is>
      </c>
      <c r="L388" t="inlineStr">
        <is>
          <t>Cargue inicial oficial desde INVENTARIO.xlsx</t>
        </is>
      </c>
      <c r="M388" s="59" t="n">
        <v>46264</v>
      </c>
    </row>
    <row r="389">
      <c r="A389" t="n">
        <v>7931</v>
      </c>
      <c r="B389" t="inlineStr">
        <is>
          <t>TUBO IMC 1"</t>
        </is>
      </c>
      <c r="C389" t="inlineStr">
        <is>
          <t>Materiales</t>
        </is>
      </c>
      <c r="D389" t="inlineStr">
        <is>
          <t>General</t>
        </is>
      </c>
      <c r="E389" t="inlineStr">
        <is>
          <t>Unidad</t>
        </is>
      </c>
      <c r="F389" t="inlineStr">
        <is>
          <t>Generico</t>
        </is>
      </c>
      <c r="G389" t="inlineStr">
        <is>
          <t>-</t>
        </is>
      </c>
      <c r="H389" t="inlineStr">
        <is>
          <t>-</t>
        </is>
      </c>
      <c r="I389" t="inlineStr">
        <is>
          <t>NO APLICA</t>
        </is>
      </c>
      <c r="J389" t="n">
        <v>5</v>
      </c>
      <c r="K389" t="inlineStr">
        <is>
          <t>Activo</t>
        </is>
      </c>
      <c r="L389" t="inlineStr">
        <is>
          <t>Cargue inicial oficial desde INVENTARIO.xlsx</t>
        </is>
      </c>
      <c r="M389" s="59" t="n">
        <v>46264</v>
      </c>
    </row>
    <row r="390">
      <c r="A390" t="n">
        <v>7932</v>
      </c>
      <c r="B390" t="inlineStr">
        <is>
          <t>TUBO IMC 1/2"</t>
        </is>
      </c>
      <c r="C390" t="inlineStr">
        <is>
          <t>Materiales</t>
        </is>
      </c>
      <c r="D390" t="inlineStr">
        <is>
          <t>General</t>
        </is>
      </c>
      <c r="E390" t="inlineStr">
        <is>
          <t>Unidad</t>
        </is>
      </c>
      <c r="F390" t="inlineStr">
        <is>
          <t>Generico</t>
        </is>
      </c>
      <c r="G390" t="inlineStr">
        <is>
          <t>-</t>
        </is>
      </c>
      <c r="H390" t="inlineStr">
        <is>
          <t>-</t>
        </is>
      </c>
      <c r="I390" t="inlineStr">
        <is>
          <t>NO APLICA</t>
        </is>
      </c>
      <c r="J390" t="n">
        <v>5</v>
      </c>
      <c r="K390" t="inlineStr">
        <is>
          <t>Activo</t>
        </is>
      </c>
      <c r="L390" t="inlineStr">
        <is>
          <t>Cargue inicial oficial desde INVENTARIO.xlsx</t>
        </is>
      </c>
      <c r="M390" s="59" t="n">
        <v>46264</v>
      </c>
    </row>
    <row r="391">
      <c r="A391" t="n">
        <v>7934</v>
      </c>
      <c r="B391" t="inlineStr">
        <is>
          <t>TUBO IMC 2"</t>
        </is>
      </c>
      <c r="C391" t="inlineStr">
        <is>
          <t>Materiales</t>
        </is>
      </c>
      <c r="D391" t="inlineStr">
        <is>
          <t>General</t>
        </is>
      </c>
      <c r="E391" t="inlineStr">
        <is>
          <t>Unidad</t>
        </is>
      </c>
      <c r="F391" t="inlineStr">
        <is>
          <t>Generico</t>
        </is>
      </c>
      <c r="G391" t="inlineStr">
        <is>
          <t>-</t>
        </is>
      </c>
      <c r="H391" t="inlineStr">
        <is>
          <t>-</t>
        </is>
      </c>
      <c r="I391" t="inlineStr">
        <is>
          <t>NO APLICA</t>
        </is>
      </c>
      <c r="J391" t="n">
        <v>5</v>
      </c>
      <c r="K391" t="inlineStr">
        <is>
          <t>Activo</t>
        </is>
      </c>
      <c r="L391" t="inlineStr">
        <is>
          <t>Cargue inicial oficial desde INVENTARIO.xlsx</t>
        </is>
      </c>
      <c r="M391" s="59" t="n">
        <v>46264</v>
      </c>
    </row>
    <row r="392">
      <c r="A392" t="n">
        <v>7935</v>
      </c>
      <c r="B392" t="inlineStr">
        <is>
          <t>TUBO IMC 3/4"</t>
        </is>
      </c>
      <c r="C392" t="inlineStr">
        <is>
          <t>Materiales</t>
        </is>
      </c>
      <c r="D392" t="inlineStr">
        <is>
          <t>General</t>
        </is>
      </c>
      <c r="E392" t="inlineStr">
        <is>
          <t>Unidad</t>
        </is>
      </c>
      <c r="F392" t="inlineStr">
        <is>
          <t>Generico</t>
        </is>
      </c>
      <c r="G392" t="inlineStr">
        <is>
          <t>-</t>
        </is>
      </c>
      <c r="H392" t="inlineStr">
        <is>
          <t>-</t>
        </is>
      </c>
      <c r="I392" t="inlineStr">
        <is>
          <t>NO APLICA</t>
        </is>
      </c>
      <c r="J392" t="n">
        <v>5</v>
      </c>
      <c r="K392" t="inlineStr">
        <is>
          <t>Activo</t>
        </is>
      </c>
      <c r="L392" t="inlineStr">
        <is>
          <t>Cargue inicial oficial desde INVENTARIO.xlsx</t>
        </is>
      </c>
      <c r="M392" s="59" t="n">
        <v>46264</v>
      </c>
    </row>
    <row r="393">
      <c r="A393" t="n">
        <v>7938</v>
      </c>
      <c r="B393" t="inlineStr">
        <is>
          <t>TUBO PVC 1"</t>
        </is>
      </c>
      <c r="C393" t="inlineStr">
        <is>
          <t>Materiales</t>
        </is>
      </c>
      <c r="D393" t="inlineStr">
        <is>
          <t>General</t>
        </is>
      </c>
      <c r="E393" t="inlineStr">
        <is>
          <t>Unidad</t>
        </is>
      </c>
      <c r="F393" t="inlineStr">
        <is>
          <t>Generico</t>
        </is>
      </c>
      <c r="G393" t="inlineStr">
        <is>
          <t>-</t>
        </is>
      </c>
      <c r="H393" t="inlineStr">
        <is>
          <t>-</t>
        </is>
      </c>
      <c r="I393" t="inlineStr">
        <is>
          <t>NO APLICA</t>
        </is>
      </c>
      <c r="J393" t="n">
        <v>5</v>
      </c>
      <c r="K393" t="inlineStr">
        <is>
          <t>Activo</t>
        </is>
      </c>
      <c r="L393" t="inlineStr">
        <is>
          <t>Cargue inicial oficial desde INVENTARIO.xlsx</t>
        </is>
      </c>
      <c r="M393" s="59" t="n">
        <v>46264</v>
      </c>
    </row>
    <row r="394">
      <c r="A394" t="n">
        <v>7939</v>
      </c>
      <c r="B394" t="inlineStr">
        <is>
          <t>TUBO PVC 1/2"</t>
        </is>
      </c>
      <c r="C394" t="inlineStr">
        <is>
          <t>Materiales</t>
        </is>
      </c>
      <c r="D394" t="inlineStr">
        <is>
          <t>General</t>
        </is>
      </c>
      <c r="E394" t="inlineStr">
        <is>
          <t>Unidad</t>
        </is>
      </c>
      <c r="F394" t="inlineStr">
        <is>
          <t>Generico</t>
        </is>
      </c>
      <c r="G394" t="inlineStr">
        <is>
          <t>-</t>
        </is>
      </c>
      <c r="H394" t="inlineStr">
        <is>
          <t>-</t>
        </is>
      </c>
      <c r="I394" t="inlineStr">
        <is>
          <t>NO APLICA</t>
        </is>
      </c>
      <c r="J394" t="n">
        <v>5</v>
      </c>
      <c r="K394" t="inlineStr">
        <is>
          <t>Activo</t>
        </is>
      </c>
      <c r="L394" t="inlineStr">
        <is>
          <t>Cargue inicial oficial desde INVENTARIO.xlsx</t>
        </is>
      </c>
      <c r="M394" s="59" t="n">
        <v>46264</v>
      </c>
    </row>
    <row r="395">
      <c r="A395" t="n">
        <v>7961</v>
      </c>
      <c r="B395" t="inlineStr">
        <is>
          <t>UNION EMT 1 1/2"</t>
        </is>
      </c>
      <c r="C395" t="inlineStr">
        <is>
          <t>Materiales</t>
        </is>
      </c>
      <c r="D395" t="inlineStr">
        <is>
          <t>General</t>
        </is>
      </c>
      <c r="E395" t="inlineStr">
        <is>
          <t>Unidad</t>
        </is>
      </c>
      <c r="F395" t="inlineStr">
        <is>
          <t>Generico</t>
        </is>
      </c>
      <c r="G395" t="inlineStr">
        <is>
          <t>-</t>
        </is>
      </c>
      <c r="H395" t="inlineStr">
        <is>
          <t>-</t>
        </is>
      </c>
      <c r="I395" t="inlineStr">
        <is>
          <t>NO APLICA</t>
        </is>
      </c>
      <c r="J395" t="n">
        <v>5</v>
      </c>
      <c r="K395" t="inlineStr">
        <is>
          <t>Activo</t>
        </is>
      </c>
      <c r="L395" t="inlineStr">
        <is>
          <t>Cargue inicial oficial desde INVENTARIO.xlsx</t>
        </is>
      </c>
      <c r="M395" s="59" t="n">
        <v>46264</v>
      </c>
    </row>
    <row r="396">
      <c r="A396" t="n">
        <v>7962</v>
      </c>
      <c r="B396" t="inlineStr">
        <is>
          <t>UNION EMT 1 1/4"</t>
        </is>
      </c>
      <c r="C396" t="inlineStr">
        <is>
          <t>Materiales</t>
        </is>
      </c>
      <c r="D396" t="inlineStr">
        <is>
          <t>General</t>
        </is>
      </c>
      <c r="E396" t="inlineStr">
        <is>
          <t>Unidad</t>
        </is>
      </c>
      <c r="F396" t="inlineStr">
        <is>
          <t>Generico</t>
        </is>
      </c>
      <c r="G396" t="inlineStr">
        <is>
          <t>-</t>
        </is>
      </c>
      <c r="H396" t="inlineStr">
        <is>
          <t>-</t>
        </is>
      </c>
      <c r="I396" t="inlineStr">
        <is>
          <t>NO APLICA</t>
        </is>
      </c>
      <c r="J396" t="n">
        <v>5</v>
      </c>
      <c r="K396" t="inlineStr">
        <is>
          <t>Activo</t>
        </is>
      </c>
      <c r="L396" t="inlineStr">
        <is>
          <t>Cargue inicial oficial desde INVENTARIO.xlsx</t>
        </is>
      </c>
      <c r="M396" s="59" t="n">
        <v>46264</v>
      </c>
    </row>
    <row r="397">
      <c r="A397" t="n">
        <v>7963</v>
      </c>
      <c r="B397" t="inlineStr">
        <is>
          <t>UNION EMT 1"</t>
        </is>
      </c>
      <c r="C397" t="inlineStr">
        <is>
          <t>Materiales</t>
        </is>
      </c>
      <c r="D397" t="inlineStr">
        <is>
          <t>General</t>
        </is>
      </c>
      <c r="E397" t="inlineStr">
        <is>
          <t>Unidad</t>
        </is>
      </c>
      <c r="F397" t="inlineStr">
        <is>
          <t>Generico</t>
        </is>
      </c>
      <c r="G397" t="inlineStr">
        <is>
          <t>-</t>
        </is>
      </c>
      <c r="H397" t="inlineStr">
        <is>
          <t>-</t>
        </is>
      </c>
      <c r="I397" t="inlineStr">
        <is>
          <t>NO APLICA</t>
        </is>
      </c>
      <c r="J397" t="n">
        <v>5</v>
      </c>
      <c r="K397" t="inlineStr">
        <is>
          <t>Activo</t>
        </is>
      </c>
      <c r="L397" t="inlineStr">
        <is>
          <t>Cargue inicial oficial desde INVENTARIO.xlsx</t>
        </is>
      </c>
      <c r="M397" s="59" t="n">
        <v>46264</v>
      </c>
    </row>
    <row r="398">
      <c r="A398" t="n">
        <v>7964</v>
      </c>
      <c r="B398" t="inlineStr">
        <is>
          <t>UNION EMT 1/2"</t>
        </is>
      </c>
      <c r="C398" t="inlineStr">
        <is>
          <t>Materiales</t>
        </is>
      </c>
      <c r="D398" t="inlineStr">
        <is>
          <t>General</t>
        </is>
      </c>
      <c r="E398" t="inlineStr">
        <is>
          <t>Unidad</t>
        </is>
      </c>
      <c r="F398" t="inlineStr">
        <is>
          <t>Generico</t>
        </is>
      </c>
      <c r="G398" t="inlineStr">
        <is>
          <t>-</t>
        </is>
      </c>
      <c r="H398" t="inlineStr">
        <is>
          <t>-</t>
        </is>
      </c>
      <c r="I398" t="inlineStr">
        <is>
          <t>NO APLICA</t>
        </is>
      </c>
      <c r="J398" t="n">
        <v>5</v>
      </c>
      <c r="K398" t="inlineStr">
        <is>
          <t>Activo</t>
        </is>
      </c>
      <c r="L398" t="inlineStr">
        <is>
          <t>Cargue inicial oficial desde INVENTARIO.xlsx</t>
        </is>
      </c>
      <c r="M398" s="59" t="n">
        <v>46264</v>
      </c>
    </row>
    <row r="399">
      <c r="A399" t="n">
        <v>7965</v>
      </c>
      <c r="B399" t="inlineStr">
        <is>
          <t>UNION EMT 2"</t>
        </is>
      </c>
      <c r="C399" t="inlineStr">
        <is>
          <t>Materiales</t>
        </is>
      </c>
      <c r="D399" t="inlineStr">
        <is>
          <t>General</t>
        </is>
      </c>
      <c r="E399" t="inlineStr">
        <is>
          <t>Unidad</t>
        </is>
      </c>
      <c r="F399" t="inlineStr">
        <is>
          <t>Generico</t>
        </is>
      </c>
      <c r="G399" t="inlineStr">
        <is>
          <t>-</t>
        </is>
      </c>
      <c r="H399" t="inlineStr">
        <is>
          <t>-</t>
        </is>
      </c>
      <c r="I399" t="inlineStr">
        <is>
          <t>NO APLICA</t>
        </is>
      </c>
      <c r="J399" t="n">
        <v>5</v>
      </c>
      <c r="K399" t="inlineStr">
        <is>
          <t>Activo</t>
        </is>
      </c>
      <c r="L399" t="inlineStr">
        <is>
          <t>Cargue inicial oficial desde INVENTARIO.xlsx</t>
        </is>
      </c>
      <c r="M399" s="59" t="n">
        <v>46264</v>
      </c>
    </row>
    <row r="400">
      <c r="A400" t="n">
        <v>7966</v>
      </c>
      <c r="B400" t="inlineStr">
        <is>
          <t>UNION EMT 3/4"</t>
        </is>
      </c>
      <c r="C400" t="inlineStr">
        <is>
          <t>Materiales</t>
        </is>
      </c>
      <c r="D400" t="inlineStr">
        <is>
          <t>General</t>
        </is>
      </c>
      <c r="E400" t="inlineStr">
        <is>
          <t>Unidad</t>
        </is>
      </c>
      <c r="F400" t="inlineStr">
        <is>
          <t>Generico</t>
        </is>
      </c>
      <c r="G400" t="inlineStr">
        <is>
          <t>-</t>
        </is>
      </c>
      <c r="H400" t="inlineStr">
        <is>
          <t>-</t>
        </is>
      </c>
      <c r="I400" t="inlineStr">
        <is>
          <t>NO APLICA</t>
        </is>
      </c>
      <c r="J400" t="n">
        <v>5</v>
      </c>
      <c r="K400" t="inlineStr">
        <is>
          <t>Activo</t>
        </is>
      </c>
      <c r="L400" t="inlineStr">
        <is>
          <t>Cargue inicial oficial desde INVENTARIO.xlsx</t>
        </is>
      </c>
      <c r="M400" s="59" t="n">
        <v>46264</v>
      </c>
    </row>
    <row r="401">
      <c r="A401" t="n">
        <v>7967</v>
      </c>
      <c r="B401" t="inlineStr">
        <is>
          <t>UNION IMC 1 1/2"</t>
        </is>
      </c>
      <c r="C401" t="inlineStr">
        <is>
          <t>Materiales</t>
        </is>
      </c>
      <c r="D401" t="inlineStr">
        <is>
          <t>General</t>
        </is>
      </c>
      <c r="E401" t="inlineStr">
        <is>
          <t>Unidad</t>
        </is>
      </c>
      <c r="F401" t="inlineStr">
        <is>
          <t>Generico</t>
        </is>
      </c>
      <c r="G401" t="inlineStr">
        <is>
          <t>-</t>
        </is>
      </c>
      <c r="H401" t="inlineStr">
        <is>
          <t>-</t>
        </is>
      </c>
      <c r="I401" t="inlineStr">
        <is>
          <t>NO APLICA</t>
        </is>
      </c>
      <c r="J401" t="n">
        <v>5</v>
      </c>
      <c r="K401" t="inlineStr">
        <is>
          <t>Activo</t>
        </is>
      </c>
      <c r="L401" t="inlineStr">
        <is>
          <t>Cargue inicial oficial desde INVENTARIO.xlsx</t>
        </is>
      </c>
      <c r="M401" s="59" t="n">
        <v>46264</v>
      </c>
    </row>
    <row r="402">
      <c r="A402" t="n">
        <v>7969</v>
      </c>
      <c r="B402" t="inlineStr">
        <is>
          <t>UNION IMC 1"</t>
        </is>
      </c>
      <c r="C402" t="inlineStr">
        <is>
          <t>Materiales</t>
        </is>
      </c>
      <c r="D402" t="inlineStr">
        <is>
          <t>General</t>
        </is>
      </c>
      <c r="E402" t="inlineStr">
        <is>
          <t>Unidad</t>
        </is>
      </c>
      <c r="F402" t="inlineStr">
        <is>
          <t>Generico</t>
        </is>
      </c>
      <c r="G402" t="inlineStr">
        <is>
          <t>-</t>
        </is>
      </c>
      <c r="H402" t="inlineStr">
        <is>
          <t>-</t>
        </is>
      </c>
      <c r="I402" t="inlineStr">
        <is>
          <t>NO APLICA</t>
        </is>
      </c>
      <c r="J402" t="n">
        <v>5</v>
      </c>
      <c r="K402" t="inlineStr">
        <is>
          <t>Activo</t>
        </is>
      </c>
      <c r="L402" t="inlineStr">
        <is>
          <t>Cargue inicial oficial desde INVENTARIO.xlsx</t>
        </is>
      </c>
      <c r="M402" s="59" t="n">
        <v>46264</v>
      </c>
    </row>
    <row r="403">
      <c r="A403" t="n">
        <v>7970</v>
      </c>
      <c r="B403" t="inlineStr">
        <is>
          <t>UNION IMC 1/2"</t>
        </is>
      </c>
      <c r="C403" t="inlineStr">
        <is>
          <t>Materiales</t>
        </is>
      </c>
      <c r="D403" t="inlineStr">
        <is>
          <t>General</t>
        </is>
      </c>
      <c r="E403" t="inlineStr">
        <is>
          <t>Unidad</t>
        </is>
      </c>
      <c r="F403" t="inlineStr">
        <is>
          <t>Generico</t>
        </is>
      </c>
      <c r="G403" t="inlineStr">
        <is>
          <t>-</t>
        </is>
      </c>
      <c r="H403" t="inlineStr">
        <is>
          <t>-</t>
        </is>
      </c>
      <c r="I403" t="inlineStr">
        <is>
          <t>NO APLICA</t>
        </is>
      </c>
      <c r="J403" t="n">
        <v>5</v>
      </c>
      <c r="K403" t="inlineStr">
        <is>
          <t>Activo</t>
        </is>
      </c>
      <c r="L403" t="inlineStr">
        <is>
          <t>Cargue inicial oficial desde INVENTARIO.xlsx</t>
        </is>
      </c>
      <c r="M403" s="59" t="n">
        <v>46264</v>
      </c>
    </row>
    <row r="404">
      <c r="A404" t="n">
        <v>7971</v>
      </c>
      <c r="B404" t="inlineStr">
        <is>
          <t>UNION IMC 2"</t>
        </is>
      </c>
      <c r="C404" t="inlineStr">
        <is>
          <t>Materiales</t>
        </is>
      </c>
      <c r="D404" t="inlineStr">
        <is>
          <t>General</t>
        </is>
      </c>
      <c r="E404" t="inlineStr">
        <is>
          <t>Unidad</t>
        </is>
      </c>
      <c r="F404" t="inlineStr">
        <is>
          <t>Generico</t>
        </is>
      </c>
      <c r="G404" t="inlineStr">
        <is>
          <t>-</t>
        </is>
      </c>
      <c r="H404" t="inlineStr">
        <is>
          <t>-</t>
        </is>
      </c>
      <c r="I404" t="inlineStr">
        <is>
          <t>NO APLICA</t>
        </is>
      </c>
      <c r="J404" t="n">
        <v>5</v>
      </c>
      <c r="K404" t="inlineStr">
        <is>
          <t>Activo</t>
        </is>
      </c>
      <c r="L404" t="inlineStr">
        <is>
          <t>Cargue inicial oficial desde INVENTARIO.xlsx</t>
        </is>
      </c>
      <c r="M404" s="59" t="n">
        <v>46264</v>
      </c>
    </row>
    <row r="405">
      <c r="A405" t="n">
        <v>7972</v>
      </c>
      <c r="B405" t="inlineStr">
        <is>
          <t>UNION IMC 3/4"</t>
        </is>
      </c>
      <c r="C405" t="inlineStr">
        <is>
          <t>Materiales</t>
        </is>
      </c>
      <c r="D405" t="inlineStr">
        <is>
          <t>General</t>
        </is>
      </c>
      <c r="E405" t="inlineStr">
        <is>
          <t>Unidad</t>
        </is>
      </c>
      <c r="F405" t="inlineStr">
        <is>
          <t>Generico</t>
        </is>
      </c>
      <c r="G405" t="inlineStr">
        <is>
          <t>-</t>
        </is>
      </c>
      <c r="H405" t="inlineStr">
        <is>
          <t>-</t>
        </is>
      </c>
      <c r="I405" t="inlineStr">
        <is>
          <t>NO APLICA</t>
        </is>
      </c>
      <c r="J405" t="n">
        <v>5</v>
      </c>
      <c r="K405" t="inlineStr">
        <is>
          <t>Activo</t>
        </is>
      </c>
      <c r="L405" t="inlineStr">
        <is>
          <t>Cargue inicial oficial desde INVENTARIO.xlsx</t>
        </is>
      </c>
      <c r="M405" s="59" t="n">
        <v>46264</v>
      </c>
    </row>
    <row r="406">
      <c r="A406" t="n">
        <v>8052</v>
      </c>
      <c r="B406" t="inlineStr">
        <is>
          <t>CABLE SOLAR NEGRO 1KV 4MM</t>
        </is>
      </c>
      <c r="C406" t="inlineStr">
        <is>
          <t>Cableado</t>
        </is>
      </c>
      <c r="D406" t="inlineStr">
        <is>
          <t>General</t>
        </is>
      </c>
      <c r="E406" t="inlineStr">
        <is>
          <t>Metro</t>
        </is>
      </c>
      <c r="F406" t="inlineStr">
        <is>
          <t>Generico</t>
        </is>
      </c>
      <c r="G406" t="inlineStr">
        <is>
          <t>-</t>
        </is>
      </c>
      <c r="H406" t="inlineStr">
        <is>
          <t>-</t>
        </is>
      </c>
      <c r="I406" t="inlineStr">
        <is>
          <t>NO APLICA</t>
        </is>
      </c>
      <c r="J406" t="n">
        <v>5</v>
      </c>
      <c r="K406" t="inlineStr">
        <is>
          <t>Activo</t>
        </is>
      </c>
      <c r="L406" t="inlineStr">
        <is>
          <t>Cargue inicial oficial desde INVENTARIO.xlsx</t>
        </is>
      </c>
      <c r="M406" s="59" t="n">
        <v>46264</v>
      </c>
    </row>
    <row r="407">
      <c r="A407" t="n">
        <v>8054</v>
      </c>
      <c r="B407" t="inlineStr">
        <is>
          <t>CABLE SOLAR ROJO 1KV 4MM HF</t>
        </is>
      </c>
      <c r="C407" t="inlineStr">
        <is>
          <t>Cableado</t>
        </is>
      </c>
      <c r="D407" t="inlineStr">
        <is>
          <t>General</t>
        </is>
      </c>
      <c r="E407" t="inlineStr">
        <is>
          <t>Metro</t>
        </is>
      </c>
      <c r="F407" t="inlineStr">
        <is>
          <t>Generico</t>
        </is>
      </c>
      <c r="G407" t="inlineStr">
        <is>
          <t>-</t>
        </is>
      </c>
      <c r="H407" t="inlineStr">
        <is>
          <t>-</t>
        </is>
      </c>
      <c r="I407" t="inlineStr">
        <is>
          <t>NO APLICA</t>
        </is>
      </c>
      <c r="J407" t="n">
        <v>5</v>
      </c>
      <c r="K407" t="inlineStr">
        <is>
          <t>Activo</t>
        </is>
      </c>
      <c r="L407" t="inlineStr">
        <is>
          <t>Cargue inicial oficial desde INVENTARIO.xlsx</t>
        </is>
      </c>
      <c r="M407" s="59" t="n">
        <v>46264</v>
      </c>
    </row>
    <row r="408">
      <c r="A408" t="n">
        <v>8373</v>
      </c>
      <c r="B408" t="inlineStr">
        <is>
          <t>ABRAZADERA AJUSTABLE (UNISTRUT) INTERIOR 3"</t>
        </is>
      </c>
      <c r="C408" t="inlineStr">
        <is>
          <t>Tornilleria</t>
        </is>
      </c>
      <c r="D408" t="inlineStr">
        <is>
          <t>General</t>
        </is>
      </c>
      <c r="E408" t="inlineStr">
        <is>
          <t>Unidad</t>
        </is>
      </c>
      <c r="F408" t="inlineStr">
        <is>
          <t>Generico</t>
        </is>
      </c>
      <c r="G408" t="inlineStr">
        <is>
          <t>-</t>
        </is>
      </c>
      <c r="H408" t="inlineStr">
        <is>
          <t>A3</t>
        </is>
      </c>
      <c r="I408" t="inlineStr">
        <is>
          <t>NO APLICA</t>
        </is>
      </c>
      <c r="J408" t="n">
        <v>5</v>
      </c>
      <c r="K408" t="inlineStr">
        <is>
          <t>Activo</t>
        </is>
      </c>
      <c r="L408" t="inlineStr">
        <is>
          <t>Cargue inicial oficial desde INVENTARIO.xlsx</t>
        </is>
      </c>
      <c r="M408" s="59" t="n">
        <v>46264</v>
      </c>
    </row>
    <row r="409">
      <c r="A409" t="n">
        <v>8379</v>
      </c>
      <c r="B409" t="inlineStr">
        <is>
          <t>ADAPTADOR TERMINAL CAMPANA DUCTO CONDUIT PVC 1"</t>
        </is>
      </c>
      <c r="C409" t="inlineStr">
        <is>
          <t>Elementos electricos</t>
        </is>
      </c>
      <c r="D409" t="inlineStr">
        <is>
          <t>General</t>
        </is>
      </c>
      <c r="E409" t="inlineStr">
        <is>
          <t>Unidad</t>
        </is>
      </c>
      <c r="F409" t="inlineStr">
        <is>
          <t>Generico</t>
        </is>
      </c>
      <c r="G409" t="inlineStr">
        <is>
          <t>-</t>
        </is>
      </c>
      <c r="H409" t="inlineStr">
        <is>
          <t>-</t>
        </is>
      </c>
      <c r="I409" t="inlineStr">
        <is>
          <t>NO APLICA</t>
        </is>
      </c>
      <c r="J409" t="n">
        <v>5</v>
      </c>
      <c r="K409" t="inlineStr">
        <is>
          <t>Activo</t>
        </is>
      </c>
      <c r="L409" t="inlineStr">
        <is>
          <t>Cargue inicial oficial desde INVENTARIO.xlsx</t>
        </is>
      </c>
      <c r="M409" s="59" t="n">
        <v>46264</v>
      </c>
    </row>
    <row r="410">
      <c r="A410" t="n">
        <v>8382</v>
      </c>
      <c r="B410" t="inlineStr">
        <is>
          <t>CAJA DE PASO PLASTICA 316X316X162MM KOWET K3131-162</t>
        </is>
      </c>
      <c r="C410" t="inlineStr">
        <is>
          <t>Materiales</t>
        </is>
      </c>
      <c r="D410" t="inlineStr">
        <is>
          <t>General</t>
        </is>
      </c>
      <c r="E410" t="inlineStr">
        <is>
          <t>Caja</t>
        </is>
      </c>
      <c r="F410" t="inlineStr">
        <is>
          <t>Generico</t>
        </is>
      </c>
      <c r="G410" t="inlineStr">
        <is>
          <t>-</t>
        </is>
      </c>
      <c r="H410" t="inlineStr">
        <is>
          <t>-</t>
        </is>
      </c>
      <c r="I410" t="inlineStr">
        <is>
          <t>NO APLICA</t>
        </is>
      </c>
      <c r="J410" t="n">
        <v>5</v>
      </c>
      <c r="K410" t="inlineStr">
        <is>
          <t>Activo</t>
        </is>
      </c>
      <c r="L410" t="inlineStr">
        <is>
          <t>Cargue inicial oficial desde INVENTARIO.xlsx</t>
        </is>
      </c>
      <c r="M410" s="59" t="n">
        <v>46264</v>
      </c>
    </row>
    <row r="411">
      <c r="A411" t="n">
        <v>8386</v>
      </c>
      <c r="B411" t="inlineStr">
        <is>
          <t>CAJA DERIVACION 23X29X11 KOWET</t>
        </is>
      </c>
      <c r="C411" t="inlineStr">
        <is>
          <t>Materiales</t>
        </is>
      </c>
      <c r="D411" t="inlineStr">
        <is>
          <t>General</t>
        </is>
      </c>
      <c r="E411" t="inlineStr">
        <is>
          <t>Caja</t>
        </is>
      </c>
      <c r="F411" t="inlineStr">
        <is>
          <t>Generico</t>
        </is>
      </c>
      <c r="G411" t="inlineStr">
        <is>
          <t>-</t>
        </is>
      </c>
      <c r="H411" t="inlineStr">
        <is>
          <t>-</t>
        </is>
      </c>
      <c r="I411" t="inlineStr">
        <is>
          <t>NO APLICA</t>
        </is>
      </c>
      <c r="J411" t="n">
        <v>5</v>
      </c>
      <c r="K411" t="inlineStr">
        <is>
          <t>Activo</t>
        </is>
      </c>
      <c r="L411" t="inlineStr">
        <is>
          <t>Cargue inicial oficial desde INVENTARIO.xlsx</t>
        </is>
      </c>
      <c r="M411" s="59" t="n">
        <v>46264</v>
      </c>
    </row>
    <row r="412">
      <c r="A412" t="n">
        <v>8390</v>
      </c>
      <c r="B412" t="inlineStr">
        <is>
          <t>CAJA INSPECCION TIERRA POLICARBONATO 20X20</t>
        </is>
      </c>
      <c r="C412" t="inlineStr">
        <is>
          <t>Materiales</t>
        </is>
      </c>
      <c r="D412" t="inlineStr">
        <is>
          <t>General</t>
        </is>
      </c>
      <c r="E412" t="inlineStr">
        <is>
          <t>Caja</t>
        </is>
      </c>
      <c r="F412" t="inlineStr">
        <is>
          <t>Generico</t>
        </is>
      </c>
      <c r="G412" t="inlineStr">
        <is>
          <t>-</t>
        </is>
      </c>
      <c r="H412" t="inlineStr">
        <is>
          <t>-</t>
        </is>
      </c>
      <c r="I412" t="inlineStr">
        <is>
          <t>NO APLICA</t>
        </is>
      </c>
      <c r="J412" t="n">
        <v>5</v>
      </c>
      <c r="K412" t="inlineStr">
        <is>
          <t>Activo</t>
        </is>
      </c>
      <c r="L412" t="inlineStr">
        <is>
          <t>Cargue inicial oficial desde INVENTARIO.xlsx</t>
        </is>
      </c>
      <c r="M412" s="59" t="n">
        <v>46264</v>
      </c>
    </row>
    <row r="413">
      <c r="A413" t="n">
        <v>8400</v>
      </c>
      <c r="B413" t="inlineStr">
        <is>
          <t>CINTA ROTULADOR PLASTICA</t>
        </is>
      </c>
      <c r="C413" t="inlineStr">
        <is>
          <t>Consumibles</t>
        </is>
      </c>
      <c r="D413" t="inlineStr">
        <is>
          <t>General</t>
        </is>
      </c>
      <c r="E413" t="inlineStr">
        <is>
          <t>Rollo</t>
        </is>
      </c>
      <c r="F413" t="inlineStr">
        <is>
          <t>Generico</t>
        </is>
      </c>
      <c r="G413" t="inlineStr">
        <is>
          <t>-</t>
        </is>
      </c>
      <c r="H413" t="inlineStr">
        <is>
          <t>-</t>
        </is>
      </c>
      <c r="I413" t="inlineStr">
        <is>
          <t>NO APLICA</t>
        </is>
      </c>
      <c r="J413" t="n">
        <v>5</v>
      </c>
      <c r="K413" t="inlineStr">
        <is>
          <t>Activo</t>
        </is>
      </c>
      <c r="L413" t="inlineStr">
        <is>
          <t>Cargue inicial oficial desde INVENTARIO.xlsx</t>
        </is>
      </c>
      <c r="M413" s="59" t="n">
        <v>46264</v>
      </c>
    </row>
    <row r="414">
      <c r="A414" t="n">
        <v>8404</v>
      </c>
      <c r="B414" t="inlineStr">
        <is>
          <t>CONECTOR COMPRESION C 8 AWG</t>
        </is>
      </c>
      <c r="C414" t="inlineStr">
        <is>
          <t>Materiales</t>
        </is>
      </c>
      <c r="D414" t="inlineStr">
        <is>
          <t>General</t>
        </is>
      </c>
      <c r="E414" t="inlineStr">
        <is>
          <t>Unidad</t>
        </is>
      </c>
      <c r="F414" t="inlineStr">
        <is>
          <t>Generico</t>
        </is>
      </c>
      <c r="G414" t="inlineStr">
        <is>
          <t>-</t>
        </is>
      </c>
      <c r="H414" t="inlineStr">
        <is>
          <t>-</t>
        </is>
      </c>
      <c r="I414" t="inlineStr">
        <is>
          <t>NO APLICA</t>
        </is>
      </c>
      <c r="J414" t="n">
        <v>5</v>
      </c>
      <c r="K414" t="inlineStr">
        <is>
          <t>Activo</t>
        </is>
      </c>
      <c r="L414" t="inlineStr">
        <is>
          <t>Cargue inicial oficial desde INVENTARIO.xlsx</t>
        </is>
      </c>
      <c r="M414" s="59" t="n">
        <v>46264</v>
      </c>
    </row>
    <row r="415">
      <c r="A415" t="n">
        <v>8406</v>
      </c>
      <c r="B415" t="inlineStr">
        <is>
          <t>CONECTOR CORAZA CURVO 3"</t>
        </is>
      </c>
      <c r="C415" t="inlineStr">
        <is>
          <t>Materiales</t>
        </is>
      </c>
      <c r="D415" t="inlineStr">
        <is>
          <t>General</t>
        </is>
      </c>
      <c r="E415" t="inlineStr">
        <is>
          <t>Unidad</t>
        </is>
      </c>
      <c r="F415" t="inlineStr">
        <is>
          <t>Generico</t>
        </is>
      </c>
      <c r="G415" t="inlineStr">
        <is>
          <t>-</t>
        </is>
      </c>
      <c r="H415" t="inlineStr">
        <is>
          <t>-</t>
        </is>
      </c>
      <c r="I415" t="inlineStr">
        <is>
          <t>NO APLICA</t>
        </is>
      </c>
      <c r="J415" t="n">
        <v>5</v>
      </c>
      <c r="K415" t="inlineStr">
        <is>
          <t>Activo</t>
        </is>
      </c>
      <c r="L415" t="inlineStr">
        <is>
          <t>Cargue inicial oficial desde INVENTARIO.xlsx</t>
        </is>
      </c>
      <c r="M415" s="59" t="n">
        <v>46264</v>
      </c>
    </row>
    <row r="416">
      <c r="A416" t="n">
        <v>8407</v>
      </c>
      <c r="B416" t="inlineStr">
        <is>
          <t>CONECTOR CORAZA RECTO 3"</t>
        </is>
      </c>
      <c r="C416" t="inlineStr">
        <is>
          <t>Materiales</t>
        </is>
      </c>
      <c r="D416" t="inlineStr">
        <is>
          <t>General</t>
        </is>
      </c>
      <c r="E416" t="inlineStr">
        <is>
          <t>Unidad</t>
        </is>
      </c>
      <c r="F416" t="inlineStr">
        <is>
          <t>Generico</t>
        </is>
      </c>
      <c r="G416" t="inlineStr">
        <is>
          <t>-</t>
        </is>
      </c>
      <c r="H416" t="inlineStr">
        <is>
          <t>-</t>
        </is>
      </c>
      <c r="I416" t="inlineStr">
        <is>
          <t>NO APLICA</t>
        </is>
      </c>
      <c r="J416" t="n">
        <v>5</v>
      </c>
      <c r="K416" t="inlineStr">
        <is>
          <t>Activo</t>
        </is>
      </c>
      <c r="L416" t="inlineStr">
        <is>
          <t>Cargue inicial oficial desde INVENTARIO.xlsx</t>
        </is>
      </c>
      <c r="M416" s="59" t="n">
        <v>46264</v>
      </c>
    </row>
    <row r="417">
      <c r="A417" t="n">
        <v>8411</v>
      </c>
      <c r="B417" t="inlineStr">
        <is>
          <t>FIJADOR DE ROSCA 50ML LOCTITE</t>
        </is>
      </c>
      <c r="C417" t="inlineStr">
        <is>
          <t>Materiales</t>
        </is>
      </c>
      <c r="D417" t="inlineStr">
        <is>
          <t>General</t>
        </is>
      </c>
      <c r="E417" t="inlineStr">
        <is>
          <t>Unidad</t>
        </is>
      </c>
      <c r="F417" t="inlineStr">
        <is>
          <t>Generico</t>
        </is>
      </c>
      <c r="G417" t="inlineStr">
        <is>
          <t>-</t>
        </is>
      </c>
      <c r="H417" t="inlineStr">
        <is>
          <t>-</t>
        </is>
      </c>
      <c r="I417" t="inlineStr">
        <is>
          <t>NO APLICA</t>
        </is>
      </c>
      <c r="J417" t="n">
        <v>5</v>
      </c>
      <c r="K417" t="inlineStr">
        <is>
          <t>Activo</t>
        </is>
      </c>
      <c r="L417" t="inlineStr">
        <is>
          <t>Cargue inicial oficial desde INVENTARIO.xlsx</t>
        </is>
      </c>
      <c r="M417" s="59" t="n">
        <v>46264</v>
      </c>
    </row>
    <row r="418">
      <c r="A418" t="n">
        <v>8417</v>
      </c>
      <c r="B418" t="inlineStr">
        <is>
          <t>PRENSA ESTOPA DEXON 1"</t>
        </is>
      </c>
      <c r="C418" t="inlineStr">
        <is>
          <t>Materiales</t>
        </is>
      </c>
      <c r="D418" t="inlineStr">
        <is>
          <t>General</t>
        </is>
      </c>
      <c r="E418" t="inlineStr">
        <is>
          <t>Unidad</t>
        </is>
      </c>
      <c r="F418" t="inlineStr">
        <is>
          <t>Generico</t>
        </is>
      </c>
      <c r="G418" t="inlineStr">
        <is>
          <t>-</t>
        </is>
      </c>
      <c r="H418" t="inlineStr">
        <is>
          <t>-</t>
        </is>
      </c>
      <c r="I418" t="inlineStr">
        <is>
          <t>NO APLICA</t>
        </is>
      </c>
      <c r="J418" t="n">
        <v>5</v>
      </c>
      <c r="K418" t="inlineStr">
        <is>
          <t>Activo</t>
        </is>
      </c>
      <c r="L418" t="inlineStr">
        <is>
          <t>Cargue inicial oficial desde INVENTARIO.xlsx</t>
        </is>
      </c>
      <c r="M418" s="59" t="n">
        <v>46264</v>
      </c>
    </row>
    <row r="419">
      <c r="A419" t="n">
        <v>8420</v>
      </c>
      <c r="B419" t="inlineStr">
        <is>
          <t>SOLDADURA EXOTERMICA 115GR</t>
        </is>
      </c>
      <c r="C419" t="inlineStr">
        <is>
          <t>Consumibles</t>
        </is>
      </c>
      <c r="D419" t="inlineStr">
        <is>
          <t>General</t>
        </is>
      </c>
      <c r="E419" t="inlineStr">
        <is>
          <t>Unidad</t>
        </is>
      </c>
      <c r="F419" t="inlineStr">
        <is>
          <t>Generico</t>
        </is>
      </c>
      <c r="G419" t="inlineStr">
        <is>
          <t>-</t>
        </is>
      </c>
      <c r="H419" t="inlineStr">
        <is>
          <t>-</t>
        </is>
      </c>
      <c r="I419" t="inlineStr">
        <is>
          <t>NO APLICA</t>
        </is>
      </c>
      <c r="J419" t="n">
        <v>5</v>
      </c>
      <c r="K419" t="inlineStr">
        <is>
          <t>Activo</t>
        </is>
      </c>
      <c r="L419" t="inlineStr">
        <is>
          <t>Cargue inicial oficial desde INVENTARIO.xlsx</t>
        </is>
      </c>
      <c r="M419" s="59" t="n">
        <v>46264</v>
      </c>
    </row>
    <row r="420">
      <c r="A420" t="n">
        <v>8442</v>
      </c>
      <c r="B420" t="inlineStr">
        <is>
          <t>CABLE ALUMINIO AISLADO 1/0 AWG</t>
        </is>
      </c>
      <c r="C420" t="inlineStr">
        <is>
          <t>Cableado</t>
        </is>
      </c>
      <c r="D420" t="inlineStr">
        <is>
          <t>General</t>
        </is>
      </c>
      <c r="E420" t="inlineStr">
        <is>
          <t>Metro</t>
        </is>
      </c>
      <c r="F420" t="inlineStr">
        <is>
          <t>Generico</t>
        </is>
      </c>
      <c r="G420" t="inlineStr">
        <is>
          <t>-</t>
        </is>
      </c>
      <c r="H420" t="inlineStr">
        <is>
          <t>-</t>
        </is>
      </c>
      <c r="I420" t="inlineStr">
        <is>
          <t>NO APLICA</t>
        </is>
      </c>
      <c r="J420" t="n">
        <v>5</v>
      </c>
      <c r="K420" t="inlineStr">
        <is>
          <t>Activo</t>
        </is>
      </c>
      <c r="L420" t="inlineStr">
        <is>
          <t>Cargue inicial oficial desde INVENTARIO.xlsx</t>
        </is>
      </c>
      <c r="M420" s="59" t="n">
        <v>46264</v>
      </c>
    </row>
    <row r="421">
      <c r="A421" t="n">
        <v>8443</v>
      </c>
      <c r="B421" t="inlineStr">
        <is>
          <t>CABLE ALUMINIO AISLADO 2/0 AWG</t>
        </is>
      </c>
      <c r="C421" t="inlineStr">
        <is>
          <t>Cableado</t>
        </is>
      </c>
      <c r="D421" t="inlineStr">
        <is>
          <t>General</t>
        </is>
      </c>
      <c r="E421" t="inlineStr">
        <is>
          <t>Metro</t>
        </is>
      </c>
      <c r="F421" t="inlineStr">
        <is>
          <t>Generico</t>
        </is>
      </c>
      <c r="G421" t="inlineStr">
        <is>
          <t>-</t>
        </is>
      </c>
      <c r="H421" t="inlineStr">
        <is>
          <t>-</t>
        </is>
      </c>
      <c r="I421" t="inlineStr">
        <is>
          <t>NO APLICA</t>
        </is>
      </c>
      <c r="J421" t="n">
        <v>5</v>
      </c>
      <c r="K421" t="inlineStr">
        <is>
          <t>Activo</t>
        </is>
      </c>
      <c r="L421" t="inlineStr">
        <is>
          <t>Cargue inicial oficial desde INVENTARIO.xlsx</t>
        </is>
      </c>
      <c r="M421" s="59" t="n">
        <v>46264</v>
      </c>
    </row>
    <row r="422">
      <c r="A422" t="n">
        <v>8445</v>
      </c>
      <c r="B422" t="inlineStr">
        <is>
          <t>CABLE ALUMINIO AISLADO 4 AWG</t>
        </is>
      </c>
      <c r="C422" t="inlineStr">
        <is>
          <t>Cableado</t>
        </is>
      </c>
      <c r="D422" t="inlineStr">
        <is>
          <t>General</t>
        </is>
      </c>
      <c r="E422" t="inlineStr">
        <is>
          <t>Metro</t>
        </is>
      </c>
      <c r="F422" t="inlineStr">
        <is>
          <t>Generico</t>
        </is>
      </c>
      <c r="G422" t="inlineStr">
        <is>
          <t>-</t>
        </is>
      </c>
      <c r="H422" t="inlineStr">
        <is>
          <t>-</t>
        </is>
      </c>
      <c r="I422" t="inlineStr">
        <is>
          <t>NO APLICA</t>
        </is>
      </c>
      <c r="J422" t="n">
        <v>5</v>
      </c>
      <c r="K422" t="inlineStr">
        <is>
          <t>Activo</t>
        </is>
      </c>
      <c r="L422" t="inlineStr">
        <is>
          <t>Cargue inicial oficial desde INVENTARIO.xlsx</t>
        </is>
      </c>
      <c r="M422" s="59" t="n">
        <v>46264</v>
      </c>
    </row>
    <row r="423">
      <c r="A423" t="n">
        <v>8446</v>
      </c>
      <c r="B423" t="inlineStr">
        <is>
          <t>CABLE ALUMINIO AISLADO 4/0 AWG</t>
        </is>
      </c>
      <c r="C423" t="inlineStr">
        <is>
          <t>Cableado</t>
        </is>
      </c>
      <c r="D423" t="inlineStr">
        <is>
          <t>General</t>
        </is>
      </c>
      <c r="E423" t="inlineStr">
        <is>
          <t>Metro</t>
        </is>
      </c>
      <c r="F423" t="inlineStr">
        <is>
          <t>Generico</t>
        </is>
      </c>
      <c r="G423" t="inlineStr">
        <is>
          <t>-</t>
        </is>
      </c>
      <c r="H423" t="inlineStr">
        <is>
          <t>-</t>
        </is>
      </c>
      <c r="I423" t="inlineStr">
        <is>
          <t>NO APLICA</t>
        </is>
      </c>
      <c r="J423" t="n">
        <v>5</v>
      </c>
      <c r="K423" t="inlineStr">
        <is>
          <t>Activo</t>
        </is>
      </c>
      <c r="L423" t="inlineStr">
        <is>
          <t>Cargue inicial oficial desde INVENTARIO.xlsx</t>
        </is>
      </c>
      <c r="M423" s="59" t="n">
        <v>46264</v>
      </c>
    </row>
    <row r="424">
      <c r="A424" t="n">
        <v>8462</v>
      </c>
      <c r="B424" t="inlineStr">
        <is>
          <t>TERMOENCOGIBLE AMARILLO 1"</t>
        </is>
      </c>
      <c r="C424" t="inlineStr">
        <is>
          <t>Materiales</t>
        </is>
      </c>
      <c r="D424" t="inlineStr">
        <is>
          <t>General</t>
        </is>
      </c>
      <c r="E424" t="inlineStr">
        <is>
          <t>Unidad</t>
        </is>
      </c>
      <c r="F424" t="inlineStr">
        <is>
          <t>Generico</t>
        </is>
      </c>
      <c r="G424" t="inlineStr">
        <is>
          <t>-</t>
        </is>
      </c>
      <c r="H424" t="inlineStr">
        <is>
          <t>-</t>
        </is>
      </c>
      <c r="I424" t="inlineStr">
        <is>
          <t>NO APLICA</t>
        </is>
      </c>
      <c r="J424" t="n">
        <v>5</v>
      </c>
      <c r="K424" t="inlineStr">
        <is>
          <t>Activo</t>
        </is>
      </c>
      <c r="L424" t="inlineStr">
        <is>
          <t>Cargue inicial oficial desde INVENTARIO.xlsx</t>
        </is>
      </c>
      <c r="M424" s="59" t="n">
        <v>46264</v>
      </c>
    </row>
    <row r="425">
      <c r="A425" t="n">
        <v>8464</v>
      </c>
      <c r="B425" t="inlineStr">
        <is>
          <t>TERMOENCOGIBLE BLANCO 1"</t>
        </is>
      </c>
      <c r="C425" t="inlineStr">
        <is>
          <t>Materiales</t>
        </is>
      </c>
      <c r="D425" t="inlineStr">
        <is>
          <t>General</t>
        </is>
      </c>
      <c r="E425" t="inlineStr">
        <is>
          <t>Unidad</t>
        </is>
      </c>
      <c r="F425" t="inlineStr">
        <is>
          <t>Generico</t>
        </is>
      </c>
      <c r="G425" t="inlineStr">
        <is>
          <t>-</t>
        </is>
      </c>
      <c r="H425" t="inlineStr">
        <is>
          <t>-</t>
        </is>
      </c>
      <c r="I425" t="inlineStr">
        <is>
          <t>NO APLICA</t>
        </is>
      </c>
      <c r="J425" t="n">
        <v>5</v>
      </c>
      <c r="K425" t="inlineStr">
        <is>
          <t>Activo</t>
        </is>
      </c>
      <c r="L425" t="inlineStr">
        <is>
          <t>Cargue inicial oficial desde INVENTARIO.xlsx</t>
        </is>
      </c>
      <c r="M425" s="59" t="n">
        <v>46264</v>
      </c>
    </row>
    <row r="426">
      <c r="A426" t="n">
        <v>8466</v>
      </c>
      <c r="B426" t="inlineStr">
        <is>
          <t>TERMOENCOGIBLE NEGRO 1"</t>
        </is>
      </c>
      <c r="C426" t="inlineStr">
        <is>
          <t>Materiales</t>
        </is>
      </c>
      <c r="D426" t="inlineStr">
        <is>
          <t>General</t>
        </is>
      </c>
      <c r="E426" t="inlineStr">
        <is>
          <t>Unidad</t>
        </is>
      </c>
      <c r="F426" t="inlineStr">
        <is>
          <t>Generico</t>
        </is>
      </c>
      <c r="G426" t="inlineStr">
        <is>
          <t>-</t>
        </is>
      </c>
      <c r="H426" t="inlineStr">
        <is>
          <t>-</t>
        </is>
      </c>
      <c r="I426" t="inlineStr">
        <is>
          <t>NO APLICA</t>
        </is>
      </c>
      <c r="J426" t="n">
        <v>5</v>
      </c>
      <c r="K426" t="inlineStr">
        <is>
          <t>Activo</t>
        </is>
      </c>
      <c r="L426" t="inlineStr">
        <is>
          <t>Cargue inicial oficial desde INVENTARIO.xlsx</t>
        </is>
      </c>
      <c r="M426" s="59" t="n">
        <v>46264</v>
      </c>
    </row>
    <row r="427">
      <c r="A427" t="n">
        <v>8467</v>
      </c>
      <c r="B427" t="inlineStr">
        <is>
          <t>TERMOENCOGIBLE ROJO 1"</t>
        </is>
      </c>
      <c r="C427" t="inlineStr">
        <is>
          <t>Materiales</t>
        </is>
      </c>
      <c r="D427" t="inlineStr">
        <is>
          <t>General</t>
        </is>
      </c>
      <c r="E427" t="inlineStr">
        <is>
          <t>Unidad</t>
        </is>
      </c>
      <c r="F427" t="inlineStr">
        <is>
          <t>Generico</t>
        </is>
      </c>
      <c r="G427" t="inlineStr">
        <is>
          <t>-</t>
        </is>
      </c>
      <c r="H427" t="inlineStr">
        <is>
          <t>-</t>
        </is>
      </c>
      <c r="I427" t="inlineStr">
        <is>
          <t>NO APLICA</t>
        </is>
      </c>
      <c r="J427" t="n">
        <v>5</v>
      </c>
      <c r="K427" t="inlineStr">
        <is>
          <t>Activo</t>
        </is>
      </c>
      <c r="L427" t="inlineStr">
        <is>
          <t>Cargue inicial oficial desde INVENTARIO.xlsx</t>
        </is>
      </c>
      <c r="M427" s="59" t="n">
        <v>46264</v>
      </c>
    </row>
    <row r="428">
      <c r="A428" t="n">
        <v>8469</v>
      </c>
      <c r="B428" t="inlineStr">
        <is>
          <t>TERMOENCOGIBLE VERDE 1"</t>
        </is>
      </c>
      <c r="C428" t="inlineStr">
        <is>
          <t>Materiales</t>
        </is>
      </c>
      <c r="D428" t="inlineStr">
        <is>
          <t>General</t>
        </is>
      </c>
      <c r="E428" t="inlineStr">
        <is>
          <t>Unidad</t>
        </is>
      </c>
      <c r="F428" t="inlineStr">
        <is>
          <t>Generico</t>
        </is>
      </c>
      <c r="G428" t="inlineStr">
        <is>
          <t>-</t>
        </is>
      </c>
      <c r="H428" t="inlineStr">
        <is>
          <t>-</t>
        </is>
      </c>
      <c r="I428" t="inlineStr">
        <is>
          <t>NO APLICA</t>
        </is>
      </c>
      <c r="J428" t="n">
        <v>5</v>
      </c>
      <c r="K428" t="inlineStr">
        <is>
          <t>Activo</t>
        </is>
      </c>
      <c r="L428" t="inlineStr">
        <is>
          <t>Cargue inicial oficial desde INVENTARIO.xlsx</t>
        </is>
      </c>
      <c r="M428" s="59" t="n">
        <v>46264</v>
      </c>
    </row>
    <row r="429">
      <c r="A429" t="n">
        <v>8484</v>
      </c>
      <c r="B429" t="inlineStr">
        <is>
          <t>CHAZO EXPANSIVO METALICO 3/8" X 2 1/2"</t>
        </is>
      </c>
      <c r="C429" t="inlineStr">
        <is>
          <t>Tornilleria</t>
        </is>
      </c>
      <c r="D429" t="inlineStr">
        <is>
          <t>General</t>
        </is>
      </c>
      <c r="E429" t="inlineStr">
        <is>
          <t>Unidad</t>
        </is>
      </c>
      <c r="F429" t="inlineStr">
        <is>
          <t>Generico</t>
        </is>
      </c>
      <c r="G429" t="inlineStr">
        <is>
          <t>-</t>
        </is>
      </c>
      <c r="H429" t="inlineStr">
        <is>
          <t>-</t>
        </is>
      </c>
      <c r="I429" t="inlineStr">
        <is>
          <t>NO APLICA</t>
        </is>
      </c>
      <c r="J429" t="n">
        <v>5</v>
      </c>
      <c r="K429" t="inlineStr">
        <is>
          <t>Activo</t>
        </is>
      </c>
      <c r="L429" t="inlineStr">
        <is>
          <t>Cargue inicial oficial desde INVENTARIO.xlsx</t>
        </is>
      </c>
      <c r="M429" s="59" t="n">
        <v>46264</v>
      </c>
    </row>
    <row r="430">
      <c r="A430" t="n">
        <v>8487</v>
      </c>
      <c r="B430" t="inlineStr">
        <is>
          <t>CHAZO RL 1/2"</t>
        </is>
      </c>
      <c r="C430" t="inlineStr">
        <is>
          <t>Tornilleria</t>
        </is>
      </c>
      <c r="D430" t="inlineStr">
        <is>
          <t>General</t>
        </is>
      </c>
      <c r="E430" t="inlineStr">
        <is>
          <t>Unidad</t>
        </is>
      </c>
      <c r="F430" t="inlineStr">
        <is>
          <t>Generico</t>
        </is>
      </c>
      <c r="G430" t="inlineStr">
        <is>
          <t>-</t>
        </is>
      </c>
      <c r="H430" t="inlineStr">
        <is>
          <t>-</t>
        </is>
      </c>
      <c r="I430" t="inlineStr">
        <is>
          <t>NO APLICA</t>
        </is>
      </c>
      <c r="J430" t="n">
        <v>5</v>
      </c>
      <c r="K430" t="inlineStr">
        <is>
          <t>Activo</t>
        </is>
      </c>
      <c r="L430" t="inlineStr">
        <is>
          <t>Cargue inicial oficial desde INVENTARIO.xlsx</t>
        </is>
      </c>
      <c r="M430" s="59" t="n">
        <v>46264</v>
      </c>
    </row>
    <row r="431">
      <c r="A431" t="n">
        <v>8492</v>
      </c>
      <c r="B431" t="inlineStr">
        <is>
          <t>RL 3/8"</t>
        </is>
      </c>
      <c r="C431" t="inlineStr">
        <is>
          <t>Materiales</t>
        </is>
      </c>
      <c r="D431" t="inlineStr">
        <is>
          <t>General</t>
        </is>
      </c>
      <c r="E431" t="inlineStr">
        <is>
          <t>Unidad</t>
        </is>
      </c>
      <c r="F431" t="inlineStr">
        <is>
          <t>Generico</t>
        </is>
      </c>
      <c r="G431" t="inlineStr">
        <is>
          <t>-</t>
        </is>
      </c>
      <c r="H431" t="inlineStr">
        <is>
          <t>-</t>
        </is>
      </c>
      <c r="I431" t="inlineStr">
        <is>
          <t>NO APLICA</t>
        </is>
      </c>
      <c r="J431" t="n">
        <v>5</v>
      </c>
      <c r="K431" t="inlineStr">
        <is>
          <t>Activo</t>
        </is>
      </c>
      <c r="L431" t="inlineStr">
        <is>
          <t>Cargue inicial oficial desde INVENTARIO.xlsx</t>
        </is>
      </c>
      <c r="M431" s="59" t="n">
        <v>46264</v>
      </c>
    </row>
    <row r="432">
      <c r="A432" t="n">
        <v>8498</v>
      </c>
      <c r="B432" t="inlineStr">
        <is>
          <t>TORNILLO AUTOPERFORANTE HEXAGONAL PUNTA BROCA 12-14 X 3"</t>
        </is>
      </c>
      <c r="C432" t="inlineStr">
        <is>
          <t>Tornilleria</t>
        </is>
      </c>
      <c r="D432" t="inlineStr">
        <is>
          <t>General</t>
        </is>
      </c>
      <c r="E432" t="inlineStr">
        <is>
          <t>Unidad</t>
        </is>
      </c>
      <c r="F432" t="inlineStr">
        <is>
          <t>Generico</t>
        </is>
      </c>
      <c r="G432" t="inlineStr">
        <is>
          <t>-</t>
        </is>
      </c>
      <c r="H432" t="inlineStr">
        <is>
          <t>-</t>
        </is>
      </c>
      <c r="I432" t="inlineStr">
        <is>
          <t>NO APLICA</t>
        </is>
      </c>
      <c r="J432" t="n">
        <v>5</v>
      </c>
      <c r="K432" t="inlineStr">
        <is>
          <t>Activo</t>
        </is>
      </c>
      <c r="L432" t="inlineStr">
        <is>
          <t>Cargue inicial oficial desde INVENTARIO.xlsx</t>
        </is>
      </c>
      <c r="M432" s="59" t="n">
        <v>46264</v>
      </c>
    </row>
    <row r="433">
      <c r="A433" t="n">
        <v>8500</v>
      </c>
      <c r="B433" t="inlineStr">
        <is>
          <t>TORNILLO AUTOPERFORANTE HEXAGONAL PUNTA BROCA ROSCA COMPLETA 2 1/2"</t>
        </is>
      </c>
      <c r="C433" t="inlineStr">
        <is>
          <t>Tornilleria</t>
        </is>
      </c>
      <c r="D433" t="inlineStr">
        <is>
          <t>General</t>
        </is>
      </c>
      <c r="E433" t="inlineStr">
        <is>
          <t>Unidad</t>
        </is>
      </c>
      <c r="F433" t="inlineStr">
        <is>
          <t>Generico</t>
        </is>
      </c>
      <c r="G433" t="inlineStr">
        <is>
          <t>-</t>
        </is>
      </c>
      <c r="H433" t="inlineStr">
        <is>
          <t>-</t>
        </is>
      </c>
      <c r="I433" t="inlineStr">
        <is>
          <t>NO APLICA</t>
        </is>
      </c>
      <c r="J433" t="n">
        <v>5</v>
      </c>
      <c r="K433" t="inlineStr">
        <is>
          <t>Activo</t>
        </is>
      </c>
      <c r="L433" t="inlineStr">
        <is>
          <t>Cargue inicial oficial desde INVENTARIO.xlsx</t>
        </is>
      </c>
      <c r="M433" s="59" t="n">
        <v>46264</v>
      </c>
    </row>
    <row r="434">
      <c r="A434" t="n">
        <v>8504</v>
      </c>
      <c r="B434" t="inlineStr">
        <is>
          <t>TORNILLO AUTOPERFORANTE PUNTA BROCA CABEZA LENTEJA 1/2</t>
        </is>
      </c>
      <c r="C434" t="inlineStr">
        <is>
          <t>Tornilleria</t>
        </is>
      </c>
      <c r="D434" t="inlineStr">
        <is>
          <t>General</t>
        </is>
      </c>
      <c r="E434" t="inlineStr">
        <is>
          <t>Unidad</t>
        </is>
      </c>
      <c r="F434" t="inlineStr">
        <is>
          <t>Generico</t>
        </is>
      </c>
      <c r="G434" t="inlineStr">
        <is>
          <t>-</t>
        </is>
      </c>
      <c r="H434" t="inlineStr">
        <is>
          <t>-</t>
        </is>
      </c>
      <c r="I434" t="inlineStr">
        <is>
          <t>NO APLICA</t>
        </is>
      </c>
      <c r="J434" t="n">
        <v>5</v>
      </c>
      <c r="K434" t="inlineStr">
        <is>
          <t>Activo</t>
        </is>
      </c>
      <c r="L434" t="inlineStr">
        <is>
          <t>Cargue inicial oficial desde INVENTARIO.xlsx</t>
        </is>
      </c>
      <c r="M434" s="59" t="n">
        <v>46264</v>
      </c>
    </row>
    <row r="435">
      <c r="A435" t="n">
        <v>8516</v>
      </c>
      <c r="B435" t="inlineStr">
        <is>
          <t>TORNILLO PUNTA DE AGUJA 9X1 1/4"</t>
        </is>
      </c>
      <c r="C435" t="inlineStr">
        <is>
          <t>Tornilleria</t>
        </is>
      </c>
      <c r="D435" t="inlineStr">
        <is>
          <t>General</t>
        </is>
      </c>
      <c r="E435" t="inlineStr">
        <is>
          <t>Unidad</t>
        </is>
      </c>
      <c r="F435" t="inlineStr">
        <is>
          <t>Generico</t>
        </is>
      </c>
      <c r="G435" t="inlineStr">
        <is>
          <t>-</t>
        </is>
      </c>
      <c r="H435" t="inlineStr">
        <is>
          <t>-</t>
        </is>
      </c>
      <c r="I435" t="inlineStr">
        <is>
          <t>NO APLICA</t>
        </is>
      </c>
      <c r="J435" t="n">
        <v>5</v>
      </c>
      <c r="K435" t="inlineStr">
        <is>
          <t>Activo</t>
        </is>
      </c>
      <c r="L435" t="inlineStr">
        <is>
          <t>Cargue inicial oficial desde INVENTARIO.xlsx</t>
        </is>
      </c>
      <c r="M435" s="59" t="n">
        <v>46264</v>
      </c>
    </row>
    <row r="436">
      <c r="A436" t="n">
        <v>8521</v>
      </c>
      <c r="B436" t="inlineStr">
        <is>
          <t>TUERCA ACERO INOXIDABLE 3/8"</t>
        </is>
      </c>
      <c r="C436" t="inlineStr">
        <is>
          <t>Tornilleria</t>
        </is>
      </c>
      <c r="D436" t="inlineStr">
        <is>
          <t>General</t>
        </is>
      </c>
      <c r="E436" t="inlineStr">
        <is>
          <t>Unidad</t>
        </is>
      </c>
      <c r="F436" t="inlineStr">
        <is>
          <t>Generico</t>
        </is>
      </c>
      <c r="G436" t="inlineStr">
        <is>
          <t>-</t>
        </is>
      </c>
      <c r="H436" t="inlineStr">
        <is>
          <t>-</t>
        </is>
      </c>
      <c r="I436" t="inlineStr">
        <is>
          <t>NO APLICA</t>
        </is>
      </c>
      <c r="J436" t="n">
        <v>5</v>
      </c>
      <c r="K436" t="inlineStr">
        <is>
          <t>Activo</t>
        </is>
      </c>
      <c r="L436" t="inlineStr">
        <is>
          <t>Cargue inicial oficial desde INVENTARIO.xlsx</t>
        </is>
      </c>
      <c r="M436" s="59" t="n">
        <v>46264</v>
      </c>
    </row>
    <row r="437">
      <c r="A437" t="n">
        <v>8523</v>
      </c>
      <c r="B437" t="inlineStr">
        <is>
          <t>TUERCA TROPICALIZADA 1/2”</t>
        </is>
      </c>
      <c r="C437" t="inlineStr">
        <is>
          <t>Tornilleria</t>
        </is>
      </c>
      <c r="D437" t="inlineStr">
        <is>
          <t>General</t>
        </is>
      </c>
      <c r="E437" t="inlineStr">
        <is>
          <t>Unidad</t>
        </is>
      </c>
      <c r="F437" t="inlineStr">
        <is>
          <t>Generico</t>
        </is>
      </c>
      <c r="G437" t="inlineStr">
        <is>
          <t>-</t>
        </is>
      </c>
      <c r="H437" t="inlineStr">
        <is>
          <t>-</t>
        </is>
      </c>
      <c r="I437" t="inlineStr">
        <is>
          <t>NO APLICA</t>
        </is>
      </c>
      <c r="J437" t="n">
        <v>5</v>
      </c>
      <c r="K437" t="inlineStr">
        <is>
          <t>Activo</t>
        </is>
      </c>
      <c r="L437" t="inlineStr">
        <is>
          <t>Cargue inicial oficial desde INVENTARIO.xlsx</t>
        </is>
      </c>
      <c r="M437" s="59" t="n">
        <v>46264</v>
      </c>
    </row>
    <row r="438">
      <c r="A438" t="n">
        <v>8555</v>
      </c>
      <c r="B438" t="inlineStr">
        <is>
          <t>DISCO DE CORTE METAL 4 1/2"</t>
        </is>
      </c>
      <c r="C438" t="inlineStr">
        <is>
          <t>Consumibles</t>
        </is>
      </c>
      <c r="D438" t="inlineStr">
        <is>
          <t>General</t>
        </is>
      </c>
      <c r="E438" t="inlineStr">
        <is>
          <t>Unidad</t>
        </is>
      </c>
      <c r="F438" t="inlineStr">
        <is>
          <t>Generico</t>
        </is>
      </c>
      <c r="G438" t="inlineStr">
        <is>
          <t>-</t>
        </is>
      </c>
      <c r="H438" t="inlineStr">
        <is>
          <t>-</t>
        </is>
      </c>
      <c r="I438" t="inlineStr">
        <is>
          <t>NO APLICA</t>
        </is>
      </c>
      <c r="J438" t="n">
        <v>5</v>
      </c>
      <c r="K438" t="inlineStr">
        <is>
          <t>Activo</t>
        </is>
      </c>
      <c r="L438" t="inlineStr">
        <is>
          <t>Cargue inicial oficial desde INVENTARIO.xlsx</t>
        </is>
      </c>
      <c r="M438" s="59" t="n">
        <v>46264</v>
      </c>
    </row>
    <row r="439">
      <c r="A439" t="n">
        <v>8621</v>
      </c>
      <c r="B439" t="inlineStr">
        <is>
          <t>MEDIDOR MICROSTAR P2000-T</t>
        </is>
      </c>
      <c r="C439" t="inlineStr">
        <is>
          <t>Materiales</t>
        </is>
      </c>
      <c r="D439" t="inlineStr">
        <is>
          <t>General</t>
        </is>
      </c>
      <c r="E439" t="inlineStr">
        <is>
          <t>Unidad</t>
        </is>
      </c>
      <c r="F439" t="inlineStr">
        <is>
          <t>Generico</t>
        </is>
      </c>
      <c r="G439" t="inlineStr">
        <is>
          <t>-</t>
        </is>
      </c>
      <c r="H439" t="inlineStr">
        <is>
          <t>-</t>
        </is>
      </c>
      <c r="I439" t="inlineStr">
        <is>
          <t>NO APLICA</t>
        </is>
      </c>
      <c r="J439" t="n">
        <v>5</v>
      </c>
      <c r="K439" t="inlineStr">
        <is>
          <t>Activo</t>
        </is>
      </c>
      <c r="L439" t="inlineStr">
        <is>
          <t>Cargue inicial oficial desde INVENTARIO.xlsx</t>
        </is>
      </c>
      <c r="M439" s="59" t="n">
        <v>46264</v>
      </c>
    </row>
    <row r="440">
      <c r="A440" t="n">
        <v>8626</v>
      </c>
      <c r="B440" t="inlineStr">
        <is>
          <t>MEDIDOR TRIFASICO P2000-D (TETRAFILAR CONEXION DIRECTA CLASE 1 100A (240V) DLMS-COSEM)</t>
        </is>
      </c>
      <c r="C440" t="inlineStr">
        <is>
          <t>Materiales</t>
        </is>
      </c>
      <c r="D440" t="inlineStr">
        <is>
          <t>General</t>
        </is>
      </c>
      <c r="E440" t="inlineStr">
        <is>
          <t>Unidad</t>
        </is>
      </c>
      <c r="F440" t="inlineStr">
        <is>
          <t>Generico</t>
        </is>
      </c>
      <c r="G440" t="inlineStr">
        <is>
          <t>-</t>
        </is>
      </c>
      <c r="H440" t="inlineStr">
        <is>
          <t>-</t>
        </is>
      </c>
      <c r="I440" t="inlineStr">
        <is>
          <t>NO APLICA</t>
        </is>
      </c>
      <c r="J440" t="n">
        <v>5</v>
      </c>
      <c r="K440" t="inlineStr">
        <is>
          <t>Activo</t>
        </is>
      </c>
      <c r="L440" t="inlineStr">
        <is>
          <t>Cargue inicial oficial desde INVENTARIO.xlsx</t>
        </is>
      </c>
      <c r="M440" s="59" t="n">
        <v>46264</v>
      </c>
    </row>
    <row r="441">
      <c r="A441" t="n">
        <v>8662</v>
      </c>
      <c r="B441" t="inlineStr">
        <is>
          <t>DPS FV20C/2-150S FATECH</t>
        </is>
      </c>
      <c r="C441" t="inlineStr">
        <is>
          <t>Materiales</t>
        </is>
      </c>
      <c r="D441" t="inlineStr">
        <is>
          <t>General</t>
        </is>
      </c>
      <c r="E441" t="inlineStr">
        <is>
          <t>Unidad</t>
        </is>
      </c>
      <c r="F441" t="inlineStr">
        <is>
          <t>Generico</t>
        </is>
      </c>
      <c r="G441" t="inlineStr">
        <is>
          <t>-</t>
        </is>
      </c>
      <c r="H441" t="inlineStr">
        <is>
          <t>-</t>
        </is>
      </c>
      <c r="I441" t="inlineStr">
        <is>
          <t>NO APLICA</t>
        </is>
      </c>
      <c r="J441" t="n">
        <v>5</v>
      </c>
      <c r="K441" t="inlineStr">
        <is>
          <t>Activo</t>
        </is>
      </c>
      <c r="L441" t="inlineStr">
        <is>
          <t>Cargue inicial oficial desde INVENTARIO.xlsx</t>
        </is>
      </c>
      <c r="M441" s="59" t="n">
        <v>46264</v>
      </c>
    </row>
    <row r="442">
      <c r="A442" t="n">
        <v>8721</v>
      </c>
      <c r="B442" t="inlineStr">
        <is>
          <t>REDUCCION BANDEJA SIMETRICA 20-10X8</t>
        </is>
      </c>
      <c r="C442" t="inlineStr">
        <is>
          <t>Materiales</t>
        </is>
      </c>
      <c r="D442" t="inlineStr">
        <is>
          <t>General</t>
        </is>
      </c>
      <c r="E442" t="inlineStr">
        <is>
          <t>Unidad</t>
        </is>
      </c>
      <c r="F442" t="inlineStr">
        <is>
          <t>Generico</t>
        </is>
      </c>
      <c r="G442" t="inlineStr">
        <is>
          <t>-</t>
        </is>
      </c>
      <c r="H442" t="inlineStr">
        <is>
          <t>-</t>
        </is>
      </c>
      <c r="I442" t="inlineStr">
        <is>
          <t>NO APLICA</t>
        </is>
      </c>
      <c r="J442" t="n">
        <v>5</v>
      </c>
      <c r="K442" t="inlineStr">
        <is>
          <t>Activo</t>
        </is>
      </c>
      <c r="L442" t="inlineStr">
        <is>
          <t>Cargue inicial oficial desde INVENTARIO.xlsx</t>
        </is>
      </c>
      <c r="M442" s="59" t="n">
        <v>46264</v>
      </c>
    </row>
    <row r="443">
      <c r="A443" t="n">
        <v>8737</v>
      </c>
      <c r="B443" t="inlineStr">
        <is>
          <t>AEROSOL ANTICORROSIVO RUST OLEUM GALVANIZADO MATE - 12 OZ</t>
        </is>
      </c>
      <c r="C443" t="inlineStr">
        <is>
          <t>Consumibles</t>
        </is>
      </c>
      <c r="D443" t="inlineStr">
        <is>
          <t>General</t>
        </is>
      </c>
      <c r="E443" t="inlineStr">
        <is>
          <t>Unidad</t>
        </is>
      </c>
      <c r="F443" t="inlineStr">
        <is>
          <t>Generico</t>
        </is>
      </c>
      <c r="G443" t="inlineStr">
        <is>
          <t>-</t>
        </is>
      </c>
      <c r="H443" t="inlineStr">
        <is>
          <t>A2</t>
        </is>
      </c>
      <c r="I443" t="inlineStr">
        <is>
          <t>NO APLICA</t>
        </is>
      </c>
      <c r="J443" t="n">
        <v>5</v>
      </c>
      <c r="K443" t="inlineStr">
        <is>
          <t>Activo</t>
        </is>
      </c>
      <c r="L443" t="inlineStr">
        <is>
          <t>Cargue inicial oficial desde INVENTARIO.xlsx</t>
        </is>
      </c>
      <c r="M443" s="59" t="n">
        <v>46264</v>
      </c>
    </row>
    <row r="444">
      <c r="A444" t="n">
        <v>8793</v>
      </c>
      <c r="B444" t="inlineStr">
        <is>
          <t>CONDULETA LB 3" INTEMPERIE</t>
        </is>
      </c>
      <c r="C444" t="inlineStr">
        <is>
          <t>Materiales</t>
        </is>
      </c>
      <c r="D444" t="inlineStr">
        <is>
          <t>General</t>
        </is>
      </c>
      <c r="E444" t="inlineStr">
        <is>
          <t>Unidad</t>
        </is>
      </c>
      <c r="F444" t="inlineStr">
        <is>
          <t>Generico</t>
        </is>
      </c>
      <c r="G444" t="inlineStr">
        <is>
          <t>-</t>
        </is>
      </c>
      <c r="H444" t="inlineStr">
        <is>
          <t>A4</t>
        </is>
      </c>
      <c r="I444" t="inlineStr">
        <is>
          <t>NO APLICA</t>
        </is>
      </c>
      <c r="J444" t="n">
        <v>5</v>
      </c>
      <c r="K444" t="inlineStr">
        <is>
          <t>Activo</t>
        </is>
      </c>
      <c r="L444" t="inlineStr">
        <is>
          <t>Cargue inicial oficial desde INVENTARIO.xlsx</t>
        </is>
      </c>
      <c r="M444" s="59" t="n">
        <v>46264</v>
      </c>
    </row>
    <row r="445">
      <c r="A445" t="n">
        <v>8795</v>
      </c>
      <c r="B445" t="inlineStr">
        <is>
          <t>CORAZA FLEXIBLE VERDE 3/4 “</t>
        </is>
      </c>
      <c r="C445" t="inlineStr">
        <is>
          <t>Materiales</t>
        </is>
      </c>
      <c r="D445" t="inlineStr">
        <is>
          <t>General</t>
        </is>
      </c>
      <c r="E445" t="inlineStr">
        <is>
          <t>Unidad</t>
        </is>
      </c>
      <c r="F445" t="inlineStr">
        <is>
          <t>Generico</t>
        </is>
      </c>
      <c r="G445" t="inlineStr">
        <is>
          <t>-</t>
        </is>
      </c>
      <c r="H445" t="inlineStr">
        <is>
          <t>-</t>
        </is>
      </c>
      <c r="I445" t="inlineStr">
        <is>
          <t>NO APLICA</t>
        </is>
      </c>
      <c r="J445" t="n">
        <v>5</v>
      </c>
      <c r="K445" t="inlineStr">
        <is>
          <t>Activo</t>
        </is>
      </c>
      <c r="L445" t="inlineStr">
        <is>
          <t>Cargue inicial oficial desde INVENTARIO.xlsx</t>
        </is>
      </c>
      <c r="M445" s="59" t="n">
        <v>46264</v>
      </c>
    </row>
    <row r="446">
      <c r="A446" t="n">
        <v>8801</v>
      </c>
      <c r="B446" t="inlineStr">
        <is>
          <t>TERMINAL EMT 4"</t>
        </is>
      </c>
      <c r="C446" t="inlineStr">
        <is>
          <t>Elementos electricos</t>
        </is>
      </c>
      <c r="D446" t="inlineStr">
        <is>
          <t>General</t>
        </is>
      </c>
      <c r="E446" t="inlineStr">
        <is>
          <t>Unidad</t>
        </is>
      </c>
      <c r="F446" t="inlineStr">
        <is>
          <t>Generico</t>
        </is>
      </c>
      <c r="G446" t="inlineStr">
        <is>
          <t>-</t>
        </is>
      </c>
      <c r="H446" t="inlineStr">
        <is>
          <t>-</t>
        </is>
      </c>
      <c r="I446" t="inlineStr">
        <is>
          <t>NO APLICA</t>
        </is>
      </c>
      <c r="J446" t="n">
        <v>5</v>
      </c>
      <c r="K446" t="inlineStr">
        <is>
          <t>Activo</t>
        </is>
      </c>
      <c r="L446" t="inlineStr">
        <is>
          <t>Cargue inicial oficial desde INVENTARIO.xlsx</t>
        </is>
      </c>
      <c r="M446" s="59" t="n">
        <v>46264</v>
      </c>
    </row>
    <row r="447">
      <c r="A447" t="n">
        <v>8802</v>
      </c>
      <c r="B447" t="inlineStr">
        <is>
          <t>TERMINAL IMC 1 1/2"</t>
        </is>
      </c>
      <c r="C447" t="inlineStr">
        <is>
          <t>Elementos electricos</t>
        </is>
      </c>
      <c r="D447" t="inlineStr">
        <is>
          <t>General</t>
        </is>
      </c>
      <c r="E447" t="inlineStr">
        <is>
          <t>Unidad</t>
        </is>
      </c>
      <c r="F447" t="inlineStr">
        <is>
          <t>Generico</t>
        </is>
      </c>
      <c r="G447" t="inlineStr">
        <is>
          <t>-</t>
        </is>
      </c>
      <c r="H447" t="inlineStr">
        <is>
          <t>-</t>
        </is>
      </c>
      <c r="I447" t="inlineStr">
        <is>
          <t>NO APLICA</t>
        </is>
      </c>
      <c r="J447" t="n">
        <v>5</v>
      </c>
      <c r="K447" t="inlineStr">
        <is>
          <t>Activo</t>
        </is>
      </c>
      <c r="L447" t="inlineStr">
        <is>
          <t>Cargue inicial oficial desde INVENTARIO.xlsx</t>
        </is>
      </c>
      <c r="M447" s="59" t="n">
        <v>46264</v>
      </c>
    </row>
    <row r="448">
      <c r="A448" t="n">
        <v>8803</v>
      </c>
      <c r="B448" t="inlineStr">
        <is>
          <t>TERMINAL IMC 1 1/4"</t>
        </is>
      </c>
      <c r="C448" t="inlineStr">
        <is>
          <t>Elementos electricos</t>
        </is>
      </c>
      <c r="D448" t="inlineStr">
        <is>
          <t>General</t>
        </is>
      </c>
      <c r="E448" t="inlineStr">
        <is>
          <t>Unidad</t>
        </is>
      </c>
      <c r="F448" t="inlineStr">
        <is>
          <t>Generico</t>
        </is>
      </c>
      <c r="G448" t="inlineStr">
        <is>
          <t>-</t>
        </is>
      </c>
      <c r="H448" t="inlineStr">
        <is>
          <t>-</t>
        </is>
      </c>
      <c r="I448" t="inlineStr">
        <is>
          <t>NO APLICA</t>
        </is>
      </c>
      <c r="J448" t="n">
        <v>5</v>
      </c>
      <c r="K448" t="inlineStr">
        <is>
          <t>Activo</t>
        </is>
      </c>
      <c r="L448" t="inlineStr">
        <is>
          <t>Cargue inicial oficial desde INVENTARIO.xlsx</t>
        </is>
      </c>
      <c r="M448" s="59" t="n">
        <v>46264</v>
      </c>
    </row>
    <row r="449">
      <c r="A449" t="n">
        <v>8804</v>
      </c>
      <c r="B449" t="inlineStr">
        <is>
          <t>TERMINAL IMC 3"</t>
        </is>
      </c>
      <c r="C449" t="inlineStr">
        <is>
          <t>Elementos electricos</t>
        </is>
      </c>
      <c r="D449" t="inlineStr">
        <is>
          <t>General</t>
        </is>
      </c>
      <c r="E449" t="inlineStr">
        <is>
          <t>Unidad</t>
        </is>
      </c>
      <c r="F449" t="inlineStr">
        <is>
          <t>Generico</t>
        </is>
      </c>
      <c r="G449" t="inlineStr">
        <is>
          <t>-</t>
        </is>
      </c>
      <c r="H449" t="inlineStr">
        <is>
          <t>-</t>
        </is>
      </c>
      <c r="I449" t="inlineStr">
        <is>
          <t>NO APLICA</t>
        </is>
      </c>
      <c r="J449" t="n">
        <v>5</v>
      </c>
      <c r="K449" t="inlineStr">
        <is>
          <t>Activo</t>
        </is>
      </c>
      <c r="L449" t="inlineStr">
        <is>
          <t>Cargue inicial oficial desde INVENTARIO.xlsx</t>
        </is>
      </c>
      <c r="M449" s="59" t="n">
        <v>46264</v>
      </c>
    </row>
    <row r="450">
      <c r="A450" t="n">
        <v>8805</v>
      </c>
      <c r="B450" t="inlineStr">
        <is>
          <t>TUBO EMT 3"</t>
        </is>
      </c>
      <c r="C450" t="inlineStr">
        <is>
          <t>Materiales</t>
        </is>
      </c>
      <c r="D450" t="inlineStr">
        <is>
          <t>General</t>
        </is>
      </c>
      <c r="E450" t="inlineStr">
        <is>
          <t>Unidad</t>
        </is>
      </c>
      <c r="F450" t="inlineStr">
        <is>
          <t>Generico</t>
        </is>
      </c>
      <c r="G450" t="inlineStr">
        <is>
          <t>-</t>
        </is>
      </c>
      <c r="H450" t="inlineStr">
        <is>
          <t>-</t>
        </is>
      </c>
      <c r="I450" t="inlineStr">
        <is>
          <t>NO APLICA</t>
        </is>
      </c>
      <c r="J450" t="n">
        <v>5</v>
      </c>
      <c r="K450" t="inlineStr">
        <is>
          <t>Activo</t>
        </is>
      </c>
      <c r="L450" t="inlineStr">
        <is>
          <t>Cargue inicial oficial desde INVENTARIO.xlsx</t>
        </is>
      </c>
      <c r="M450" s="59" t="n">
        <v>46264</v>
      </c>
    </row>
    <row r="451">
      <c r="A451" t="n">
        <v>8807</v>
      </c>
      <c r="B451" t="inlineStr">
        <is>
          <t>UNION CONDUIT PVC (SCH 40) 2"</t>
        </is>
      </c>
      <c r="C451" t="inlineStr">
        <is>
          <t>Materiales</t>
        </is>
      </c>
      <c r="D451" t="inlineStr">
        <is>
          <t>General</t>
        </is>
      </c>
      <c r="E451" t="inlineStr">
        <is>
          <t>Unidad</t>
        </is>
      </c>
      <c r="F451" t="inlineStr">
        <is>
          <t>Generico</t>
        </is>
      </c>
      <c r="G451" t="inlineStr">
        <is>
          <t>-</t>
        </is>
      </c>
      <c r="H451" t="inlineStr">
        <is>
          <t>-</t>
        </is>
      </c>
      <c r="I451" t="inlineStr">
        <is>
          <t>NO APLICA</t>
        </is>
      </c>
      <c r="J451" t="n">
        <v>5</v>
      </c>
      <c r="K451" t="inlineStr">
        <is>
          <t>Activo</t>
        </is>
      </c>
      <c r="L451" t="inlineStr">
        <is>
          <t>Cargue inicial oficial desde INVENTARIO.xlsx</t>
        </is>
      </c>
      <c r="M451" s="59" t="n">
        <v>46264</v>
      </c>
    </row>
    <row r="452">
      <c r="A452" t="n">
        <v>8814</v>
      </c>
      <c r="B452" t="inlineStr">
        <is>
          <t>UNION EMT 3"</t>
        </is>
      </c>
      <c r="C452" t="inlineStr">
        <is>
          <t>Materiales</t>
        </is>
      </c>
      <c r="D452" t="inlineStr">
        <is>
          <t>General</t>
        </is>
      </c>
      <c r="E452" t="inlineStr">
        <is>
          <t>Unidad</t>
        </is>
      </c>
      <c r="F452" t="inlineStr">
        <is>
          <t>Generico</t>
        </is>
      </c>
      <c r="G452" t="inlineStr">
        <is>
          <t>-</t>
        </is>
      </c>
      <c r="H452" t="inlineStr">
        <is>
          <t>-</t>
        </is>
      </c>
      <c r="I452" t="inlineStr">
        <is>
          <t>NO APLICA</t>
        </is>
      </c>
      <c r="J452" t="n">
        <v>5</v>
      </c>
      <c r="K452" t="inlineStr">
        <is>
          <t>Activo</t>
        </is>
      </c>
      <c r="L452" t="inlineStr">
        <is>
          <t>Cargue inicial oficial desde INVENTARIO.xlsx</t>
        </is>
      </c>
      <c r="M452" s="59" t="n">
        <v>46264</v>
      </c>
    </row>
    <row r="453">
      <c r="A453" t="n">
        <v>8816</v>
      </c>
      <c r="B453" t="inlineStr">
        <is>
          <t>UNION IMC 3"</t>
        </is>
      </c>
      <c r="C453" t="inlineStr">
        <is>
          <t>Materiales</t>
        </is>
      </c>
      <c r="D453" t="inlineStr">
        <is>
          <t>General</t>
        </is>
      </c>
      <c r="E453" t="inlineStr">
        <is>
          <t>Unidad</t>
        </is>
      </c>
      <c r="F453" t="inlineStr">
        <is>
          <t>Generico</t>
        </is>
      </c>
      <c r="G453" t="inlineStr">
        <is>
          <t>-</t>
        </is>
      </c>
      <c r="H453" t="inlineStr">
        <is>
          <t>-</t>
        </is>
      </c>
      <c r="I453" t="inlineStr">
        <is>
          <t>NO APLICA</t>
        </is>
      </c>
      <c r="J453" t="n">
        <v>5</v>
      </c>
      <c r="K453" t="inlineStr">
        <is>
          <t>Activo</t>
        </is>
      </c>
      <c r="L453" t="inlineStr">
        <is>
          <t>Cargue inicial oficial desde INVENTARIO.xlsx</t>
        </is>
      </c>
      <c r="M453" s="59" t="n">
        <v>46264</v>
      </c>
    </row>
    <row r="454">
      <c r="A454" t="n">
        <v>8817</v>
      </c>
      <c r="B454" t="inlineStr">
        <is>
          <t>UNION IMC 4"</t>
        </is>
      </c>
      <c r="C454" t="inlineStr">
        <is>
          <t>Materiales</t>
        </is>
      </c>
      <c r="D454" t="inlineStr">
        <is>
          <t>General</t>
        </is>
      </c>
      <c r="E454" t="inlineStr">
        <is>
          <t>Unidad</t>
        </is>
      </c>
      <c r="F454" t="inlineStr">
        <is>
          <t>Generico</t>
        </is>
      </c>
      <c r="G454" t="inlineStr">
        <is>
          <t>-</t>
        </is>
      </c>
      <c r="H454" t="inlineStr">
        <is>
          <t>-</t>
        </is>
      </c>
      <c r="I454" t="inlineStr">
        <is>
          <t>NO APLICA</t>
        </is>
      </c>
      <c r="J454" t="n">
        <v>5</v>
      </c>
      <c r="K454" t="inlineStr">
        <is>
          <t>Activo</t>
        </is>
      </c>
      <c r="L454" t="inlineStr">
        <is>
          <t>Cargue inicial oficial desde INVENTARIO.xlsx</t>
        </is>
      </c>
      <c r="M454" s="59" t="n">
        <v>46264</v>
      </c>
    </row>
    <row r="455">
      <c r="A455" t="n">
        <v>8974</v>
      </c>
      <c r="B455" t="inlineStr">
        <is>
          <t>AMARRE PLASTICO BLANCO 20 CM DEXSON</t>
        </is>
      </c>
      <c r="C455" t="inlineStr">
        <is>
          <t>Materiales</t>
        </is>
      </c>
      <c r="D455" t="inlineStr">
        <is>
          <t>General</t>
        </is>
      </c>
      <c r="E455" t="inlineStr">
        <is>
          <t>Unidad</t>
        </is>
      </c>
      <c r="F455" t="inlineStr">
        <is>
          <t>Generico</t>
        </is>
      </c>
      <c r="G455" t="inlineStr">
        <is>
          <t>-</t>
        </is>
      </c>
      <c r="H455" t="inlineStr">
        <is>
          <t>-</t>
        </is>
      </c>
      <c r="I455" t="inlineStr">
        <is>
          <t>NO APLICA</t>
        </is>
      </c>
      <c r="J455" t="n">
        <v>5</v>
      </c>
      <c r="K455" t="inlineStr">
        <is>
          <t>Activo</t>
        </is>
      </c>
      <c r="L455" t="inlineStr">
        <is>
          <t>Cargue inicial oficial desde INVENTARIO.xlsx</t>
        </is>
      </c>
      <c r="M455" s="59" t="n">
        <v>46264</v>
      </c>
    </row>
    <row r="456">
      <c r="A456" t="n">
        <v>9080</v>
      </c>
      <c r="B456" t="inlineStr">
        <is>
          <t>CAJA DE PASO PLASTICA 21X21X14MM KOWET K2121-14</t>
        </is>
      </c>
      <c r="C456" t="inlineStr">
        <is>
          <t>Materiales</t>
        </is>
      </c>
      <c r="D456" t="inlineStr">
        <is>
          <t>General</t>
        </is>
      </c>
      <c r="E456" t="inlineStr">
        <is>
          <t>Caja</t>
        </is>
      </c>
      <c r="F456" t="inlineStr">
        <is>
          <t>Generico</t>
        </is>
      </c>
      <c r="G456" t="inlineStr">
        <is>
          <t>-</t>
        </is>
      </c>
      <c r="H456" t="inlineStr">
        <is>
          <t>-</t>
        </is>
      </c>
      <c r="I456" t="inlineStr">
        <is>
          <t>NO APLICA</t>
        </is>
      </c>
      <c r="J456" t="n">
        <v>5</v>
      </c>
      <c r="K456" t="inlineStr">
        <is>
          <t>Activo</t>
        </is>
      </c>
      <c r="L456" t="inlineStr">
        <is>
          <t>Cargue inicial oficial desde INVENTARIO.xlsx</t>
        </is>
      </c>
      <c r="M456" s="59" t="n">
        <v>46264</v>
      </c>
    </row>
    <row r="457">
      <c r="A457" t="n">
        <v>9085</v>
      </c>
      <c r="B457" t="inlineStr">
        <is>
          <t>CAJA PLASTICA CON DOBLE FONDO 28X21X13 FAMATEL</t>
        </is>
      </c>
      <c r="C457" t="inlineStr">
        <is>
          <t>Materiales</t>
        </is>
      </c>
      <c r="D457" t="inlineStr">
        <is>
          <t>General</t>
        </is>
      </c>
      <c r="E457" t="inlineStr">
        <is>
          <t>Caja</t>
        </is>
      </c>
      <c r="F457" t="inlineStr">
        <is>
          <t>Generico</t>
        </is>
      </c>
      <c r="G457" t="inlineStr">
        <is>
          <t>-</t>
        </is>
      </c>
      <c r="H457" t="inlineStr">
        <is>
          <t>-</t>
        </is>
      </c>
      <c r="I457" t="inlineStr">
        <is>
          <t>NO APLICA</t>
        </is>
      </c>
      <c r="J457" t="n">
        <v>5</v>
      </c>
      <c r="K457" t="inlineStr">
        <is>
          <t>Activo</t>
        </is>
      </c>
      <c r="L457" t="inlineStr">
        <is>
          <t>Cargue inicial oficial desde INVENTARIO.xlsx</t>
        </is>
      </c>
      <c r="M457" s="59" t="n">
        <v>46264</v>
      </c>
    </row>
    <row r="458">
      <c r="A458" t="n">
        <v>9093</v>
      </c>
      <c r="B458" t="inlineStr">
        <is>
          <t>GABINETE 600X400X250 DKC0289</t>
        </is>
      </c>
      <c r="C458" t="inlineStr">
        <is>
          <t>Materiales</t>
        </is>
      </c>
      <c r="D458" t="inlineStr">
        <is>
          <t>General</t>
        </is>
      </c>
      <c r="E458" t="inlineStr">
        <is>
          <t>Unidad</t>
        </is>
      </c>
      <c r="F458" t="inlineStr">
        <is>
          <t>Generico</t>
        </is>
      </c>
      <c r="G458" t="inlineStr">
        <is>
          <t>-</t>
        </is>
      </c>
      <c r="H458" t="inlineStr">
        <is>
          <t>-</t>
        </is>
      </c>
      <c r="I458" t="inlineStr">
        <is>
          <t>NO APLICA</t>
        </is>
      </c>
      <c r="J458" t="n">
        <v>5</v>
      </c>
      <c r="K458" t="inlineStr">
        <is>
          <t>Activo</t>
        </is>
      </c>
      <c r="L458" t="inlineStr">
        <is>
          <t>Cargue inicial oficial desde INVENTARIO.xlsx</t>
        </is>
      </c>
      <c r="M458" s="59" t="n">
        <v>46264</v>
      </c>
    </row>
    <row r="459">
      <c r="A459" t="n">
        <v>9095</v>
      </c>
      <c r="B459" t="inlineStr">
        <is>
          <t>PRENSA ESTOPA 2" DEXON</t>
        </is>
      </c>
      <c r="C459" t="inlineStr">
        <is>
          <t>Materiales</t>
        </is>
      </c>
      <c r="D459" t="inlineStr">
        <is>
          <t>General</t>
        </is>
      </c>
      <c r="E459" t="inlineStr">
        <is>
          <t>Unidad</t>
        </is>
      </c>
      <c r="F459" t="inlineStr">
        <is>
          <t>Generico</t>
        </is>
      </c>
      <c r="G459" t="inlineStr">
        <is>
          <t>-</t>
        </is>
      </c>
      <c r="H459" t="inlineStr">
        <is>
          <t>-</t>
        </is>
      </c>
      <c r="I459" t="inlineStr">
        <is>
          <t>NO APLICA</t>
        </is>
      </c>
      <c r="J459" t="n">
        <v>5</v>
      </c>
      <c r="K459" t="inlineStr">
        <is>
          <t>Activo</t>
        </is>
      </c>
      <c r="L459" t="inlineStr">
        <is>
          <t>Cargue inicial oficial desde INVENTARIO.xlsx</t>
        </is>
      </c>
      <c r="M459" s="59" t="n">
        <v>46264</v>
      </c>
    </row>
    <row r="460">
      <c r="A460" t="n">
        <v>9114</v>
      </c>
      <c r="B460" t="inlineStr">
        <is>
          <t>VARILLA ROSCADA GALVANIZADA 1/2"</t>
        </is>
      </c>
      <c r="C460" t="inlineStr">
        <is>
          <t>Tornilleria</t>
        </is>
      </c>
      <c r="D460" t="inlineStr">
        <is>
          <t>General</t>
        </is>
      </c>
      <c r="E460" t="inlineStr">
        <is>
          <t>Unidad</t>
        </is>
      </c>
      <c r="F460" t="inlineStr">
        <is>
          <t>Generico</t>
        </is>
      </c>
      <c r="G460" t="inlineStr">
        <is>
          <t>-</t>
        </is>
      </c>
      <c r="H460" t="inlineStr">
        <is>
          <t>-</t>
        </is>
      </c>
      <c r="I460" t="inlineStr">
        <is>
          <t>NO APLICA</t>
        </is>
      </c>
      <c r="J460" t="n">
        <v>5</v>
      </c>
      <c r="K460" t="inlineStr">
        <is>
          <t>Activo</t>
        </is>
      </c>
      <c r="L460" t="inlineStr">
        <is>
          <t>Cargue inicial oficial desde INVENTARIO.xlsx</t>
        </is>
      </c>
      <c r="M460" s="59" t="n">
        <v>46264</v>
      </c>
    </row>
    <row r="461">
      <c r="A461" t="n">
        <v>9120</v>
      </c>
      <c r="B461" t="inlineStr">
        <is>
          <t>CABLE ALUMINIO AISLADO 2 AWG</t>
        </is>
      </c>
      <c r="C461" t="inlineStr">
        <is>
          <t>Cableado</t>
        </is>
      </c>
      <c r="D461" t="inlineStr">
        <is>
          <t>General</t>
        </is>
      </c>
      <c r="E461" t="inlineStr">
        <is>
          <t>Metro</t>
        </is>
      </c>
      <c r="F461" t="inlineStr">
        <is>
          <t>Generico</t>
        </is>
      </c>
      <c r="G461" t="inlineStr">
        <is>
          <t>-</t>
        </is>
      </c>
      <c r="H461" t="inlineStr">
        <is>
          <t>-</t>
        </is>
      </c>
      <c r="I461" t="inlineStr">
        <is>
          <t>NO APLICA</t>
        </is>
      </c>
      <c r="J461" t="n">
        <v>5</v>
      </c>
      <c r="K461" t="inlineStr">
        <is>
          <t>Activo</t>
        </is>
      </c>
      <c r="L461" t="inlineStr">
        <is>
          <t>Cargue inicial oficial desde INVENTARIO.xlsx</t>
        </is>
      </c>
      <c r="M461" s="59" t="n">
        <v>46264</v>
      </c>
    </row>
    <row r="462">
      <c r="A462" t="n">
        <v>9131</v>
      </c>
      <c r="B462" t="inlineStr">
        <is>
          <t>TERMOENCOGIBLE CAFÉ 1"</t>
        </is>
      </c>
      <c r="C462" t="inlineStr">
        <is>
          <t>Materiales</t>
        </is>
      </c>
      <c r="D462" t="inlineStr">
        <is>
          <t>General</t>
        </is>
      </c>
      <c r="E462" t="inlineStr">
        <is>
          <t>Unidad</t>
        </is>
      </c>
      <c r="F462" t="inlineStr">
        <is>
          <t>Generico</t>
        </is>
      </c>
      <c r="G462" t="inlineStr">
        <is>
          <t>-</t>
        </is>
      </c>
      <c r="H462" t="inlineStr">
        <is>
          <t>-</t>
        </is>
      </c>
      <c r="I462" t="inlineStr">
        <is>
          <t>NO APLICA</t>
        </is>
      </c>
      <c r="J462" t="n">
        <v>5</v>
      </c>
      <c r="K462" t="inlineStr">
        <is>
          <t>Activo</t>
        </is>
      </c>
      <c r="L462" t="inlineStr">
        <is>
          <t>Cargue inicial oficial desde INVENTARIO.xlsx</t>
        </is>
      </c>
      <c r="M462" s="59" t="n">
        <v>46264</v>
      </c>
    </row>
    <row r="463">
      <c r="A463" t="n">
        <v>9132</v>
      </c>
      <c r="B463" t="inlineStr">
        <is>
          <t>TERMOENCOGIBLE NARANJA 1"</t>
        </is>
      </c>
      <c r="C463" t="inlineStr">
        <is>
          <t>Materiales</t>
        </is>
      </c>
      <c r="D463" t="inlineStr">
        <is>
          <t>General</t>
        </is>
      </c>
      <c r="E463" t="inlineStr">
        <is>
          <t>Unidad</t>
        </is>
      </c>
      <c r="F463" t="inlineStr">
        <is>
          <t>Generico</t>
        </is>
      </c>
      <c r="G463" t="inlineStr">
        <is>
          <t>-</t>
        </is>
      </c>
      <c r="H463" t="inlineStr">
        <is>
          <t>-</t>
        </is>
      </c>
      <c r="I463" t="inlineStr">
        <is>
          <t>NO APLICA</t>
        </is>
      </c>
      <c r="J463" t="n">
        <v>5</v>
      </c>
      <c r="K463" t="inlineStr">
        <is>
          <t>Activo</t>
        </is>
      </c>
      <c r="L463" t="inlineStr">
        <is>
          <t>Cargue inicial oficial desde INVENTARIO.xlsx</t>
        </is>
      </c>
      <c r="M463" s="59" t="n">
        <v>46264</v>
      </c>
    </row>
    <row r="464">
      <c r="A464" t="n">
        <v>9160</v>
      </c>
      <c r="B464" t="inlineStr">
        <is>
          <t>COPA SIERRA 2"</t>
        </is>
      </c>
      <c r="C464" t="inlineStr">
        <is>
          <t>Materiales</t>
        </is>
      </c>
      <c r="D464" t="inlineStr">
        <is>
          <t>General</t>
        </is>
      </c>
      <c r="E464" t="inlineStr">
        <is>
          <t>Unidad</t>
        </is>
      </c>
      <c r="F464" t="inlineStr">
        <is>
          <t>Generico</t>
        </is>
      </c>
      <c r="G464" t="inlineStr">
        <is>
          <t>-</t>
        </is>
      </c>
      <c r="H464" t="inlineStr">
        <is>
          <t>-</t>
        </is>
      </c>
      <c r="I464" t="inlineStr">
        <is>
          <t>NO APLICA</t>
        </is>
      </c>
      <c r="J464" t="n">
        <v>5</v>
      </c>
      <c r="K464" t="inlineStr">
        <is>
          <t>Activo</t>
        </is>
      </c>
      <c r="L464" t="inlineStr">
        <is>
          <t>Cargue inicial oficial desde INVENTARIO.xlsx</t>
        </is>
      </c>
      <c r="M464" s="59" t="n">
        <v>46264</v>
      </c>
    </row>
    <row r="465">
      <c r="A465" t="n">
        <v>9224</v>
      </c>
      <c r="B465" t="inlineStr">
        <is>
          <t>DPS FV20C/3-150S FATECH</t>
        </is>
      </c>
      <c r="C465" t="inlineStr">
        <is>
          <t>Materiales</t>
        </is>
      </c>
      <c r="D465" t="inlineStr">
        <is>
          <t>General</t>
        </is>
      </c>
      <c r="E465" t="inlineStr">
        <is>
          <t>Unidad</t>
        </is>
      </c>
      <c r="F465" t="inlineStr">
        <is>
          <t>Generico</t>
        </is>
      </c>
      <c r="G465" t="inlineStr">
        <is>
          <t>-</t>
        </is>
      </c>
      <c r="H465" t="inlineStr">
        <is>
          <t>-</t>
        </is>
      </c>
      <c r="I465" t="inlineStr">
        <is>
          <t>NO APLICA</t>
        </is>
      </c>
      <c r="J465" t="n">
        <v>5</v>
      </c>
      <c r="K465" t="inlineStr">
        <is>
          <t>Activo</t>
        </is>
      </c>
      <c r="L465" t="inlineStr">
        <is>
          <t>Cargue inicial oficial desde INVENTARIO.xlsx</t>
        </is>
      </c>
      <c r="M465" s="59" t="n">
        <v>46264</v>
      </c>
    </row>
    <row r="466">
      <c r="A466" t="n">
        <v>9282</v>
      </c>
      <c r="B466" t="inlineStr">
        <is>
          <t>AEROSOL ANTICORROSIVO GALVANIZADO 12 OZ RUST OLEUM</t>
        </is>
      </c>
      <c r="C466" t="inlineStr">
        <is>
          <t>Consumibles</t>
        </is>
      </c>
      <c r="D466" t="inlineStr">
        <is>
          <t>General</t>
        </is>
      </c>
      <c r="E466" t="inlineStr">
        <is>
          <t>Unidad</t>
        </is>
      </c>
      <c r="F466" t="inlineStr">
        <is>
          <t>Generico</t>
        </is>
      </c>
      <c r="G466" t="inlineStr">
        <is>
          <t>-</t>
        </is>
      </c>
      <c r="H466" t="inlineStr">
        <is>
          <t>A2</t>
        </is>
      </c>
      <c r="I466" t="inlineStr">
        <is>
          <t>NO APLICA</t>
        </is>
      </c>
      <c r="J466" t="n">
        <v>5</v>
      </c>
      <c r="K466" t="inlineStr">
        <is>
          <t>Activo</t>
        </is>
      </c>
      <c r="L466" t="inlineStr">
        <is>
          <t>Cargue inicial oficial desde INVENTARIO.xlsx</t>
        </is>
      </c>
      <c r="M466" s="59" t="n">
        <v>46264</v>
      </c>
    </row>
    <row r="467">
      <c r="A467" t="n">
        <v>9283</v>
      </c>
      <c r="B467" t="inlineStr">
        <is>
          <t>AEROSOL NARANJA PINTUCO</t>
        </is>
      </c>
      <c r="C467" t="inlineStr">
        <is>
          <t>Consumibles</t>
        </is>
      </c>
      <c r="D467" t="inlineStr">
        <is>
          <t>General</t>
        </is>
      </c>
      <c r="E467" t="inlineStr">
        <is>
          <t>Unidad</t>
        </is>
      </c>
      <c r="F467" t="inlineStr">
        <is>
          <t>Generico</t>
        </is>
      </c>
      <c r="G467" t="inlineStr">
        <is>
          <t>-</t>
        </is>
      </c>
      <c r="H467" t="inlineStr">
        <is>
          <t>-</t>
        </is>
      </c>
      <c r="I467" t="inlineStr">
        <is>
          <t>NO APLICA</t>
        </is>
      </c>
      <c r="J467" t="n">
        <v>5</v>
      </c>
      <c r="K467" t="inlineStr">
        <is>
          <t>Activo</t>
        </is>
      </c>
      <c r="L467" t="inlineStr">
        <is>
          <t>Cargue inicial oficial desde INVENTARIO.xlsx</t>
        </is>
      </c>
      <c r="M467" s="59" t="n">
        <v>46264</v>
      </c>
    </row>
    <row r="468">
      <c r="A468" t="n">
        <v>9285</v>
      </c>
      <c r="B468" t="inlineStr">
        <is>
          <t>GABINETE 800X600X300 DKC0287</t>
        </is>
      </c>
      <c r="C468" t="inlineStr">
        <is>
          <t>Materiales</t>
        </is>
      </c>
      <c r="D468" t="inlineStr">
        <is>
          <t>General</t>
        </is>
      </c>
      <c r="E468" t="inlineStr">
        <is>
          <t>Unidad</t>
        </is>
      </c>
      <c r="F468" t="inlineStr">
        <is>
          <t>Generico</t>
        </is>
      </c>
      <c r="G468" t="inlineStr">
        <is>
          <t>-</t>
        </is>
      </c>
      <c r="H468" t="inlineStr">
        <is>
          <t>-</t>
        </is>
      </c>
      <c r="I468" t="inlineStr">
        <is>
          <t>NO APLICA</t>
        </is>
      </c>
      <c r="J468" t="n">
        <v>5</v>
      </c>
      <c r="K468" t="inlineStr">
        <is>
          <t>Activo</t>
        </is>
      </c>
      <c r="L468" t="inlineStr">
        <is>
          <t>Cargue inicial oficial desde INVENTARIO.xlsx</t>
        </is>
      </c>
      <c r="M468" s="59" t="n">
        <v>46264</v>
      </c>
    </row>
    <row r="469">
      <c r="A469" t="n">
        <v>9327</v>
      </c>
      <c r="B469" t="inlineStr">
        <is>
          <t>ABRAZADERA AJUSTABLE (UNISTRUT) GALVANIZADA CALIENTE 3"</t>
        </is>
      </c>
      <c r="C469" t="inlineStr">
        <is>
          <t>Tornilleria</t>
        </is>
      </c>
      <c r="D469" t="inlineStr">
        <is>
          <t>General</t>
        </is>
      </c>
      <c r="E469" t="inlineStr">
        <is>
          <t>Unidad</t>
        </is>
      </c>
      <c r="F469" t="inlineStr">
        <is>
          <t>Generico</t>
        </is>
      </c>
      <c r="G469" t="inlineStr">
        <is>
          <t>-</t>
        </is>
      </c>
      <c r="H469" t="inlineStr">
        <is>
          <t>A3</t>
        </is>
      </c>
      <c r="I469" t="inlineStr">
        <is>
          <t>NO APLICA</t>
        </is>
      </c>
      <c r="J469" t="n">
        <v>5</v>
      </c>
      <c r="K469" t="inlineStr">
        <is>
          <t>Activo</t>
        </is>
      </c>
      <c r="L469" t="inlineStr">
        <is>
          <t>Cargue inicial oficial desde INVENTARIO.xlsx</t>
        </is>
      </c>
      <c r="M469" s="59" t="n">
        <v>46264</v>
      </c>
    </row>
    <row r="470">
      <c r="A470" t="n">
        <v>9328</v>
      </c>
      <c r="B470" t="inlineStr">
        <is>
          <t>ABRAZADERA COLGANTE (IMC/CORAZA) PARA EXTERIOR 3"</t>
        </is>
      </c>
      <c r="C470" t="inlineStr">
        <is>
          <t>Tornilleria</t>
        </is>
      </c>
      <c r="D470" t="inlineStr">
        <is>
          <t>General</t>
        </is>
      </c>
      <c r="E470" t="inlineStr">
        <is>
          <t>Unidad</t>
        </is>
      </c>
      <c r="F470" t="inlineStr">
        <is>
          <t>Generico</t>
        </is>
      </c>
      <c r="G470" t="inlineStr">
        <is>
          <t>-</t>
        </is>
      </c>
      <c r="H470" t="inlineStr">
        <is>
          <t>A3</t>
        </is>
      </c>
      <c r="I470" t="inlineStr">
        <is>
          <t>NO APLICA</t>
        </is>
      </c>
      <c r="J470" t="n">
        <v>5</v>
      </c>
      <c r="K470" t="inlineStr">
        <is>
          <t>Activo</t>
        </is>
      </c>
      <c r="L470" t="inlineStr">
        <is>
          <t>Cargue inicial oficial desde INVENTARIO.xlsx</t>
        </is>
      </c>
      <c r="M470" s="59" t="n">
        <v>46264</v>
      </c>
    </row>
    <row r="471">
      <c r="A471" t="n">
        <v>9334</v>
      </c>
      <c r="B471" t="inlineStr">
        <is>
          <t>ADAPTADOR TERMINAL CAMPANA DUCTO CONDUIT PVC 1 1/2"</t>
        </is>
      </c>
      <c r="C471" t="inlineStr">
        <is>
          <t>Elementos electricos</t>
        </is>
      </c>
      <c r="D471" t="inlineStr">
        <is>
          <t>General</t>
        </is>
      </c>
      <c r="E471" t="inlineStr">
        <is>
          <t>Unidad</t>
        </is>
      </c>
      <c r="F471" t="inlineStr">
        <is>
          <t>Generico</t>
        </is>
      </c>
      <c r="G471" t="inlineStr">
        <is>
          <t>-</t>
        </is>
      </c>
      <c r="H471" t="inlineStr">
        <is>
          <t>-</t>
        </is>
      </c>
      <c r="I471" t="inlineStr">
        <is>
          <t>NO APLICA</t>
        </is>
      </c>
      <c r="J471" t="n">
        <v>5</v>
      </c>
      <c r="K471" t="inlineStr">
        <is>
          <t>Activo</t>
        </is>
      </c>
      <c r="L471" t="inlineStr">
        <is>
          <t>Cargue inicial oficial desde INVENTARIO.xlsx</t>
        </is>
      </c>
      <c r="M471" s="59" t="n">
        <v>46264</v>
      </c>
    </row>
    <row r="472">
      <c r="A472" t="n">
        <v>9339</v>
      </c>
      <c r="B472" t="inlineStr">
        <is>
          <t>CONDULETA LB 3" INTERIOR</t>
        </is>
      </c>
      <c r="C472" t="inlineStr">
        <is>
          <t>Materiales</t>
        </is>
      </c>
      <c r="D472" t="inlineStr">
        <is>
          <t>General</t>
        </is>
      </c>
      <c r="E472" t="inlineStr">
        <is>
          <t>Unidad</t>
        </is>
      </c>
      <c r="F472" t="inlineStr">
        <is>
          <t>Generico</t>
        </is>
      </c>
      <c r="G472" t="inlineStr">
        <is>
          <t>-</t>
        </is>
      </c>
      <c r="H472" t="inlineStr">
        <is>
          <t>A5</t>
        </is>
      </c>
      <c r="I472" t="inlineStr">
        <is>
          <t>NO APLICA</t>
        </is>
      </c>
      <c r="J472" t="n">
        <v>5</v>
      </c>
      <c r="K472" t="inlineStr">
        <is>
          <t>Activo</t>
        </is>
      </c>
      <c r="L472" t="inlineStr">
        <is>
          <t>Cargue inicial oficial desde INVENTARIO.xlsx</t>
        </is>
      </c>
      <c r="M472" s="59" t="n">
        <v>46264</v>
      </c>
    </row>
    <row r="473">
      <c r="A473" t="n">
        <v>9342</v>
      </c>
      <c r="B473" t="inlineStr">
        <is>
          <t>CORAZA AMERICANA 3"</t>
        </is>
      </c>
      <c r="C473" t="inlineStr">
        <is>
          <t>Materiales</t>
        </is>
      </c>
      <c r="D473" t="inlineStr">
        <is>
          <t>General</t>
        </is>
      </c>
      <c r="E473" t="inlineStr">
        <is>
          <t>Unidad</t>
        </is>
      </c>
      <c r="F473" t="inlineStr">
        <is>
          <t>Generico</t>
        </is>
      </c>
      <c r="G473" t="inlineStr">
        <is>
          <t>-</t>
        </is>
      </c>
      <c r="H473" t="inlineStr">
        <is>
          <t>-</t>
        </is>
      </c>
      <c r="I473" t="inlineStr">
        <is>
          <t>NO APLICA</t>
        </is>
      </c>
      <c r="J473" t="n">
        <v>5</v>
      </c>
      <c r="K473" t="inlineStr">
        <is>
          <t>Activo</t>
        </is>
      </c>
      <c r="L473" t="inlineStr">
        <is>
          <t>Cargue inicial oficial desde INVENTARIO.xlsx</t>
        </is>
      </c>
      <c r="M473" s="59" t="n">
        <v>46264</v>
      </c>
    </row>
    <row r="474">
      <c r="A474" t="n">
        <v>9343</v>
      </c>
      <c r="B474" t="inlineStr">
        <is>
          <t>CURVA EMT 3"</t>
        </is>
      </c>
      <c r="C474" t="inlineStr">
        <is>
          <t>Materiales</t>
        </is>
      </c>
      <c r="D474" t="inlineStr">
        <is>
          <t>General</t>
        </is>
      </c>
      <c r="E474" t="inlineStr">
        <is>
          <t>Unidad</t>
        </is>
      </c>
      <c r="F474" t="inlineStr">
        <is>
          <t>Generico</t>
        </is>
      </c>
      <c r="G474" t="inlineStr">
        <is>
          <t>-</t>
        </is>
      </c>
      <c r="H474" t="inlineStr">
        <is>
          <t>-</t>
        </is>
      </c>
      <c r="I474" t="inlineStr">
        <is>
          <t>NO APLICA</t>
        </is>
      </c>
      <c r="J474" t="n">
        <v>5</v>
      </c>
      <c r="K474" t="inlineStr">
        <is>
          <t>Activo</t>
        </is>
      </c>
      <c r="L474" t="inlineStr">
        <is>
          <t>Cargue inicial oficial desde INVENTARIO.xlsx</t>
        </is>
      </c>
      <c r="M474" s="59" t="n">
        <v>46264</v>
      </c>
    </row>
    <row r="475">
      <c r="A475" t="n">
        <v>9347</v>
      </c>
      <c r="B475" t="inlineStr">
        <is>
          <t>TERMINAL EMT 2 1/2"</t>
        </is>
      </c>
      <c r="C475" t="inlineStr">
        <is>
          <t>Elementos electricos</t>
        </is>
      </c>
      <c r="D475" t="inlineStr">
        <is>
          <t>General</t>
        </is>
      </c>
      <c r="E475" t="inlineStr">
        <is>
          <t>Unidad</t>
        </is>
      </c>
      <c r="F475" t="inlineStr">
        <is>
          <t>Generico</t>
        </is>
      </c>
      <c r="G475" t="inlineStr">
        <is>
          <t>-</t>
        </is>
      </c>
      <c r="H475" t="inlineStr">
        <is>
          <t>-</t>
        </is>
      </c>
      <c r="I475" t="inlineStr">
        <is>
          <t>NO APLICA</t>
        </is>
      </c>
      <c r="J475" t="n">
        <v>5</v>
      </c>
      <c r="K475" t="inlineStr">
        <is>
          <t>Activo</t>
        </is>
      </c>
      <c r="L475" t="inlineStr">
        <is>
          <t>Cargue inicial oficial desde INVENTARIO.xlsx</t>
        </is>
      </c>
      <c r="M475" s="59" t="n">
        <v>46264</v>
      </c>
    </row>
    <row r="476">
      <c r="A476" t="n">
        <v>9348</v>
      </c>
      <c r="B476" t="inlineStr">
        <is>
          <t>TERMINAL EMT 3"</t>
        </is>
      </c>
      <c r="C476" t="inlineStr">
        <is>
          <t>Elementos electricos</t>
        </is>
      </c>
      <c r="D476" t="inlineStr">
        <is>
          <t>General</t>
        </is>
      </c>
      <c r="E476" t="inlineStr">
        <is>
          <t>Unidad</t>
        </is>
      </c>
      <c r="F476" t="inlineStr">
        <is>
          <t>Generico</t>
        </is>
      </c>
      <c r="G476" t="inlineStr">
        <is>
          <t>-</t>
        </is>
      </c>
      <c r="H476" t="inlineStr">
        <is>
          <t>-</t>
        </is>
      </c>
      <c r="I476" t="inlineStr">
        <is>
          <t>NO APLICA</t>
        </is>
      </c>
      <c r="J476" t="n">
        <v>5</v>
      </c>
      <c r="K476" t="inlineStr">
        <is>
          <t>Activo</t>
        </is>
      </c>
      <c r="L476" t="inlineStr">
        <is>
          <t>Cargue inicial oficial desde INVENTARIO.xlsx</t>
        </is>
      </c>
      <c r="M476" s="59" t="n">
        <v>46264</v>
      </c>
    </row>
    <row r="477">
      <c r="A477" t="n">
        <v>9349</v>
      </c>
      <c r="B477" t="inlineStr">
        <is>
          <t>TERMINAL IMC 1/2"</t>
        </is>
      </c>
      <c r="C477" t="inlineStr">
        <is>
          <t>Elementos electricos</t>
        </is>
      </c>
      <c r="D477" t="inlineStr">
        <is>
          <t>General</t>
        </is>
      </c>
      <c r="E477" t="inlineStr">
        <is>
          <t>Unidad</t>
        </is>
      </c>
      <c r="F477" t="inlineStr">
        <is>
          <t>Generico</t>
        </is>
      </c>
      <c r="G477" t="inlineStr">
        <is>
          <t>-</t>
        </is>
      </c>
      <c r="H477" t="inlineStr">
        <is>
          <t>-</t>
        </is>
      </c>
      <c r="I477" t="inlineStr">
        <is>
          <t>NO APLICA</t>
        </is>
      </c>
      <c r="J477" t="n">
        <v>5</v>
      </c>
      <c r="K477" t="inlineStr">
        <is>
          <t>Activo</t>
        </is>
      </c>
      <c r="L477" t="inlineStr">
        <is>
          <t>Cargue inicial oficial desde INVENTARIO.xlsx</t>
        </is>
      </c>
      <c r="M477" s="59" t="n">
        <v>46264</v>
      </c>
    </row>
    <row r="478">
      <c r="A478" t="n">
        <v>9350</v>
      </c>
      <c r="B478" t="inlineStr">
        <is>
          <t>TERMINAL IMC 2"</t>
        </is>
      </c>
      <c r="C478" t="inlineStr">
        <is>
          <t>Elementos electricos</t>
        </is>
      </c>
      <c r="D478" t="inlineStr">
        <is>
          <t>General</t>
        </is>
      </c>
      <c r="E478" t="inlineStr">
        <is>
          <t>Unidad</t>
        </is>
      </c>
      <c r="F478" t="inlineStr">
        <is>
          <t>Generico</t>
        </is>
      </c>
      <c r="G478" t="inlineStr">
        <is>
          <t>-</t>
        </is>
      </c>
      <c r="H478" t="inlineStr">
        <is>
          <t>-</t>
        </is>
      </c>
      <c r="I478" t="inlineStr">
        <is>
          <t>NO APLICA</t>
        </is>
      </c>
      <c r="J478" t="n">
        <v>5</v>
      </c>
      <c r="K478" t="inlineStr">
        <is>
          <t>Activo</t>
        </is>
      </c>
      <c r="L478" t="inlineStr">
        <is>
          <t>Cargue inicial oficial desde INVENTARIO.xlsx</t>
        </is>
      </c>
      <c r="M478" s="59" t="n">
        <v>46264</v>
      </c>
    </row>
    <row r="479">
      <c r="A479" t="n">
        <v>9351</v>
      </c>
      <c r="B479" t="inlineStr">
        <is>
          <t>TERMINAL IMC 3/4"</t>
        </is>
      </c>
      <c r="C479" t="inlineStr">
        <is>
          <t>Elementos electricos</t>
        </is>
      </c>
      <c r="D479" t="inlineStr">
        <is>
          <t>General</t>
        </is>
      </c>
      <c r="E479" t="inlineStr">
        <is>
          <t>Unidad</t>
        </is>
      </c>
      <c r="F479" t="inlineStr">
        <is>
          <t>Generico</t>
        </is>
      </c>
      <c r="G479" t="inlineStr">
        <is>
          <t>-</t>
        </is>
      </c>
      <c r="H479" t="inlineStr">
        <is>
          <t>-</t>
        </is>
      </c>
      <c r="I479" t="inlineStr">
        <is>
          <t>NO APLICA</t>
        </is>
      </c>
      <c r="J479" t="n">
        <v>5</v>
      </c>
      <c r="K479" t="inlineStr">
        <is>
          <t>Activo</t>
        </is>
      </c>
      <c r="L479" t="inlineStr">
        <is>
          <t>Cargue inicial oficial desde INVENTARIO.xlsx</t>
        </is>
      </c>
      <c r="M479" s="59" t="n">
        <v>46264</v>
      </c>
    </row>
    <row r="480">
      <c r="A480" t="n">
        <v>9361</v>
      </c>
      <c r="B480" t="inlineStr">
        <is>
          <t>UNION PVC 1"</t>
        </is>
      </c>
      <c r="C480" t="inlineStr">
        <is>
          <t>Materiales</t>
        </is>
      </c>
      <c r="D480" t="inlineStr">
        <is>
          <t>General</t>
        </is>
      </c>
      <c r="E480" t="inlineStr">
        <is>
          <t>Unidad</t>
        </is>
      </c>
      <c r="F480" t="inlineStr">
        <is>
          <t>Generico</t>
        </is>
      </c>
      <c r="G480" t="inlineStr">
        <is>
          <t>-</t>
        </is>
      </c>
      <c r="H480" t="inlineStr">
        <is>
          <t>-</t>
        </is>
      </c>
      <c r="I480" t="inlineStr">
        <is>
          <t>NO APLICA</t>
        </is>
      </c>
      <c r="J480" t="n">
        <v>5</v>
      </c>
      <c r="K480" t="inlineStr">
        <is>
          <t>Activo</t>
        </is>
      </c>
      <c r="L480" t="inlineStr">
        <is>
          <t>Cargue inicial oficial desde INVENTARIO.xlsx</t>
        </is>
      </c>
      <c r="M480" s="59" t="n">
        <v>46264</v>
      </c>
    </row>
    <row r="481">
      <c r="A481" t="n">
        <v>9365</v>
      </c>
      <c r="B481" t="inlineStr">
        <is>
          <t>UNION PVC 3/4"</t>
        </is>
      </c>
      <c r="C481" t="inlineStr">
        <is>
          <t>Materiales</t>
        </is>
      </c>
      <c r="D481" t="inlineStr">
        <is>
          <t>General</t>
        </is>
      </c>
      <c r="E481" t="inlineStr">
        <is>
          <t>Unidad</t>
        </is>
      </c>
      <c r="F481" t="inlineStr">
        <is>
          <t>Generico</t>
        </is>
      </c>
      <c r="G481" t="inlineStr">
        <is>
          <t>-</t>
        </is>
      </c>
      <c r="H481" t="inlineStr">
        <is>
          <t>-</t>
        </is>
      </c>
      <c r="I481" t="inlineStr">
        <is>
          <t>NO APLICA</t>
        </is>
      </c>
      <c r="J481" t="n">
        <v>5</v>
      </c>
      <c r="K481" t="inlineStr">
        <is>
          <t>Activo</t>
        </is>
      </c>
      <c r="L481" t="inlineStr">
        <is>
          <t>Cargue inicial oficial desde INVENTARIO.xlsx</t>
        </is>
      </c>
      <c r="M481" s="59" t="n">
        <v>46264</v>
      </c>
    </row>
    <row r="482">
      <c r="A482" t="n">
        <v>9388</v>
      </c>
      <c r="B482" t="inlineStr">
        <is>
          <t>INTERRUPTOR TERMOMAGNETICO INDUSTRIAL TRIPOLAR  175A (50KA)</t>
        </is>
      </c>
      <c r="C482" t="inlineStr">
        <is>
          <t>Elementos electricos</t>
        </is>
      </c>
      <c r="D482" t="inlineStr">
        <is>
          <t>General</t>
        </is>
      </c>
      <c r="E482" t="inlineStr">
        <is>
          <t>Unidad</t>
        </is>
      </c>
      <c r="F482" t="inlineStr">
        <is>
          <t>Generico</t>
        </is>
      </c>
      <c r="G482" t="inlineStr">
        <is>
          <t>-</t>
        </is>
      </c>
      <c r="H482" t="inlineStr">
        <is>
          <t>-</t>
        </is>
      </c>
      <c r="I482" t="inlineStr">
        <is>
          <t>NO APLICA</t>
        </is>
      </c>
      <c r="J482" t="n">
        <v>5</v>
      </c>
      <c r="K482" t="inlineStr">
        <is>
          <t>Activo</t>
        </is>
      </c>
      <c r="L482" t="inlineStr">
        <is>
          <t>Cargue inicial oficial desde INVENTARIO.xlsx</t>
        </is>
      </c>
      <c r="M482" s="59" t="n">
        <v>46264</v>
      </c>
    </row>
    <row r="483">
      <c r="A483" t="n">
        <v>9680</v>
      </c>
      <c r="B483" t="inlineStr">
        <is>
          <t>TERMINAL IMC 1"</t>
        </is>
      </c>
      <c r="C483" t="inlineStr">
        <is>
          <t>Elementos electricos</t>
        </is>
      </c>
      <c r="D483" t="inlineStr">
        <is>
          <t>General</t>
        </is>
      </c>
      <c r="E483" t="inlineStr">
        <is>
          <t>Unidad</t>
        </is>
      </c>
      <c r="F483" t="inlineStr">
        <is>
          <t>Generico</t>
        </is>
      </c>
      <c r="G483" t="inlineStr">
        <is>
          <t>-</t>
        </is>
      </c>
      <c r="H483" t="inlineStr">
        <is>
          <t>-</t>
        </is>
      </c>
      <c r="I483" t="inlineStr">
        <is>
          <t>NO APLICA</t>
        </is>
      </c>
      <c r="J483" t="n">
        <v>5</v>
      </c>
      <c r="K483" t="inlineStr">
        <is>
          <t>Activo</t>
        </is>
      </c>
      <c r="L483" t="inlineStr">
        <is>
          <t>Cargue inicial oficial desde INVENTARIO.xlsx</t>
        </is>
      </c>
      <c r="M483" s="59" t="n">
        <v>46264</v>
      </c>
    </row>
    <row r="484">
      <c r="A484" t="n">
        <v>9884</v>
      </c>
      <c r="B484" t="inlineStr">
        <is>
          <t>BASE SOPORTE PLASTICO CONDUCTOR DEHMSNAP D40MM ART 297025</t>
        </is>
      </c>
      <c r="C484" t="inlineStr">
        <is>
          <t>Materiales</t>
        </is>
      </c>
      <c r="D484" t="inlineStr">
        <is>
          <t>General</t>
        </is>
      </c>
      <c r="E484" t="inlineStr">
        <is>
          <t>Unidad</t>
        </is>
      </c>
      <c r="F484" t="inlineStr">
        <is>
          <t>Generico</t>
        </is>
      </c>
      <c r="G484" t="inlineStr">
        <is>
          <t>-</t>
        </is>
      </c>
      <c r="H484" t="inlineStr">
        <is>
          <t>-</t>
        </is>
      </c>
      <c r="I484" t="inlineStr">
        <is>
          <t>NO APLICA</t>
        </is>
      </c>
      <c r="J484" t="n">
        <v>5</v>
      </c>
      <c r="K484" t="inlineStr">
        <is>
          <t>Activo</t>
        </is>
      </c>
      <c r="L484" t="inlineStr">
        <is>
          <t>Cargue inicial oficial desde INVENTARIO.xlsx</t>
        </is>
      </c>
      <c r="M484" s="59" t="n">
        <v>46264</v>
      </c>
    </row>
    <row r="485">
      <c r="A485" t="n">
        <v>9886</v>
      </c>
      <c r="B485" t="inlineStr">
        <is>
          <t>CONECTOR VARIABLE BIMETALICO RD8-10-DEHM REF.MVK8.10CU AL ART 390657</t>
        </is>
      </c>
      <c r="C485" t="inlineStr">
        <is>
          <t>Materiales</t>
        </is>
      </c>
      <c r="D485" t="inlineStr">
        <is>
          <t>General</t>
        </is>
      </c>
      <c r="E485" t="inlineStr">
        <is>
          <t>Unidad</t>
        </is>
      </c>
      <c r="F485" t="inlineStr">
        <is>
          <t>Generico</t>
        </is>
      </c>
      <c r="G485" t="inlineStr">
        <is>
          <t>-</t>
        </is>
      </c>
      <c r="H485" t="inlineStr">
        <is>
          <t>-</t>
        </is>
      </c>
      <c r="I485" t="inlineStr">
        <is>
          <t>NO APLICA</t>
        </is>
      </c>
      <c r="J485" t="n">
        <v>5</v>
      </c>
      <c r="K485" t="inlineStr">
        <is>
          <t>Activo</t>
        </is>
      </c>
      <c r="L485" t="inlineStr">
        <is>
          <t>Cargue inicial oficial desde INVENTARIO.xlsx</t>
        </is>
      </c>
      <c r="M485" s="59" t="n">
        <v>46264</v>
      </c>
    </row>
    <row r="486">
      <c r="A486" t="n">
        <v>9887</v>
      </c>
      <c r="B486" t="inlineStr">
        <is>
          <t>CONECTOR VARIABLE UNIVERSAL ALUMINIO RD 2X8-10MM ART 390061</t>
        </is>
      </c>
      <c r="C486" t="inlineStr">
        <is>
          <t>Materiales</t>
        </is>
      </c>
      <c r="D486" t="inlineStr">
        <is>
          <t>General</t>
        </is>
      </c>
      <c r="E486" t="inlineStr">
        <is>
          <t>Unidad</t>
        </is>
      </c>
      <c r="F486" t="inlineStr">
        <is>
          <t>Generico</t>
        </is>
      </c>
      <c r="G486" t="inlineStr">
        <is>
          <t>-</t>
        </is>
      </c>
      <c r="H486" t="inlineStr">
        <is>
          <t>-</t>
        </is>
      </c>
      <c r="I486" t="inlineStr">
        <is>
          <t>NO APLICA</t>
        </is>
      </c>
      <c r="J486" t="n">
        <v>5</v>
      </c>
      <c r="K486" t="inlineStr">
        <is>
          <t>Activo</t>
        </is>
      </c>
      <c r="L486" t="inlineStr">
        <is>
          <t>Cargue inicial oficial desde INVENTARIO.xlsx</t>
        </is>
      </c>
      <c r="M486" s="59" t="n">
        <v>46264</v>
      </c>
    </row>
    <row r="487">
      <c r="A487" t="n">
        <v>9893</v>
      </c>
      <c r="B487" t="inlineStr">
        <is>
          <t>SOPORTE PLASTICO CONDUCTOR DEHMSNAP RD 8MM H36MM ROSCA M8 ART204004</t>
        </is>
      </c>
      <c r="C487" t="inlineStr">
        <is>
          <t>Materiales</t>
        </is>
      </c>
      <c r="D487" t="inlineStr">
        <is>
          <t>General</t>
        </is>
      </c>
      <c r="E487" t="inlineStr">
        <is>
          <t>Unidad</t>
        </is>
      </c>
      <c r="F487" t="inlineStr">
        <is>
          <t>Generico</t>
        </is>
      </c>
      <c r="G487" t="inlineStr">
        <is>
          <t>-</t>
        </is>
      </c>
      <c r="H487" t="inlineStr">
        <is>
          <t>-</t>
        </is>
      </c>
      <c r="I487" t="inlineStr">
        <is>
          <t>NO APLICA</t>
        </is>
      </c>
      <c r="J487" t="n">
        <v>5</v>
      </c>
      <c r="K487" t="inlineStr">
        <is>
          <t>Activo</t>
        </is>
      </c>
      <c r="L487" t="inlineStr">
        <is>
          <t>Cargue inicial oficial desde INVENTARIO.xlsx</t>
        </is>
      </c>
      <c r="M487" s="59" t="n">
        <v>46264</v>
      </c>
    </row>
    <row r="488">
      <c r="A488" t="n">
        <v>10087</v>
      </c>
      <c r="B488" t="inlineStr">
        <is>
          <t>TABLERO DE DISTRIBUCIÓN RESIDENCIAL SOBREPONER IP41 4 MÓDULOS DIN</t>
        </is>
      </c>
      <c r="C488" t="inlineStr">
        <is>
          <t>Materiales</t>
        </is>
      </c>
      <c r="D488" t="inlineStr">
        <is>
          <t>General</t>
        </is>
      </c>
      <c r="E488" t="inlineStr">
        <is>
          <t>Unidad</t>
        </is>
      </c>
      <c r="F488" t="inlineStr">
        <is>
          <t>Generico</t>
        </is>
      </c>
      <c r="G488" t="inlineStr">
        <is>
          <t>-</t>
        </is>
      </c>
      <c r="H488" t="inlineStr">
        <is>
          <t>B2</t>
        </is>
      </c>
      <c r="I488" t="inlineStr">
        <is>
          <t>NO APLICA</t>
        </is>
      </c>
      <c r="J488" t="n">
        <v>5</v>
      </c>
      <c r="K488" t="inlineStr">
        <is>
          <t>Activo</t>
        </is>
      </c>
      <c r="L488" t="inlineStr">
        <is>
          <t>Cargue inicial oficial desde INVENTARIO.xlsx</t>
        </is>
      </c>
      <c r="M488" s="59" t="n">
        <v>46264</v>
      </c>
    </row>
    <row r="489">
      <c r="A489" t="n">
        <v>10696</v>
      </c>
      <c r="B489" t="inlineStr">
        <is>
          <t>TORNILLO TROPICALIZADO GRADO 8 5/16" X 1 1/2"</t>
        </is>
      </c>
      <c r="C489" t="inlineStr">
        <is>
          <t>Tornilleria</t>
        </is>
      </c>
      <c r="D489" t="inlineStr">
        <is>
          <t>General</t>
        </is>
      </c>
      <c r="E489" t="inlineStr">
        <is>
          <t>Unidad</t>
        </is>
      </c>
      <c r="F489" t="inlineStr">
        <is>
          <t>Generico</t>
        </is>
      </c>
      <c r="G489" t="inlineStr">
        <is>
          <t>-</t>
        </is>
      </c>
      <c r="H489" t="inlineStr">
        <is>
          <t>-</t>
        </is>
      </c>
      <c r="I489" t="inlineStr">
        <is>
          <t>NO APLICA</t>
        </is>
      </c>
      <c r="J489" t="n">
        <v>5</v>
      </c>
      <c r="K489" t="inlineStr">
        <is>
          <t>Activo</t>
        </is>
      </c>
      <c r="L489" t="inlineStr">
        <is>
          <t>Cargue inicial oficial desde INVENTARIO.xlsx</t>
        </is>
      </c>
      <c r="M489" s="59" t="n">
        <v>46264</v>
      </c>
    </row>
    <row r="490">
      <c r="A490" t="n">
        <v>10697</v>
      </c>
      <c r="B490" t="inlineStr">
        <is>
          <t>CONECTOR CORAZA RECTO 4"</t>
        </is>
      </c>
      <c r="C490" t="inlineStr">
        <is>
          <t>Materiales</t>
        </is>
      </c>
      <c r="D490" t="inlineStr">
        <is>
          <t>General</t>
        </is>
      </c>
      <c r="E490" t="inlineStr">
        <is>
          <t>Unidad</t>
        </is>
      </c>
      <c r="F490" t="inlineStr">
        <is>
          <t>Generico</t>
        </is>
      </c>
      <c r="G490" t="inlineStr">
        <is>
          <t>-</t>
        </is>
      </c>
      <c r="H490" t="inlineStr">
        <is>
          <t>-</t>
        </is>
      </c>
      <c r="I490" t="inlineStr">
        <is>
          <t>NO APLICA</t>
        </is>
      </c>
      <c r="J490" t="n">
        <v>5</v>
      </c>
      <c r="K490" t="inlineStr">
        <is>
          <t>Activo</t>
        </is>
      </c>
      <c r="L490" t="inlineStr">
        <is>
          <t>Cargue inicial oficial desde INVENTARIO.xlsx</t>
        </is>
      </c>
      <c r="M490" s="59" t="n">
        <v>46264</v>
      </c>
    </row>
    <row r="491">
      <c r="A491" t="n">
        <v>12084</v>
      </c>
      <c r="B491" t="inlineStr">
        <is>
          <t>CAJA DE PASO PLASTICA 114X114X107MM KOWET</t>
        </is>
      </c>
      <c r="C491" t="inlineStr">
        <is>
          <t>Materiales</t>
        </is>
      </c>
      <c r="D491" t="inlineStr">
        <is>
          <t>General</t>
        </is>
      </c>
      <c r="E491" t="inlineStr">
        <is>
          <t>Caja</t>
        </is>
      </c>
      <c r="F491" t="inlineStr">
        <is>
          <t>Generico</t>
        </is>
      </c>
      <c r="G491" t="inlineStr">
        <is>
          <t>-</t>
        </is>
      </c>
      <c r="H491" t="inlineStr">
        <is>
          <t>-</t>
        </is>
      </c>
      <c r="I491" t="inlineStr">
        <is>
          <t>NO APLICA</t>
        </is>
      </c>
      <c r="J491" t="n">
        <v>5</v>
      </c>
      <c r="K491" t="inlineStr">
        <is>
          <t>Activo</t>
        </is>
      </c>
      <c r="L491" t="inlineStr">
        <is>
          <t>Cargue inicial oficial desde INVENTARIO.xlsx</t>
        </is>
      </c>
      <c r="M491" s="59" t="n">
        <v>46264</v>
      </c>
    </row>
    <row r="492">
      <c r="A492" t="n">
        <v>14216</v>
      </c>
      <c r="B492" t="inlineStr">
        <is>
          <t>CURVA BANDEJA VERTICAL INTERIOR 90° 50X8.</t>
        </is>
      </c>
      <c r="C492" t="inlineStr">
        <is>
          <t>Materiales</t>
        </is>
      </c>
      <c r="D492" t="inlineStr">
        <is>
          <t>General</t>
        </is>
      </c>
      <c r="E492" t="inlineStr">
        <is>
          <t>Unidad</t>
        </is>
      </c>
      <c r="F492" t="inlineStr">
        <is>
          <t>Generico</t>
        </is>
      </c>
      <c r="G492" t="inlineStr">
        <is>
          <t>-</t>
        </is>
      </c>
      <c r="H492" t="inlineStr">
        <is>
          <t>-</t>
        </is>
      </c>
      <c r="I492" t="inlineStr">
        <is>
          <t>NO APLICA</t>
        </is>
      </c>
      <c r="J492" t="n">
        <v>5</v>
      </c>
      <c r="K492" t="inlineStr">
        <is>
          <t>Activo</t>
        </is>
      </c>
      <c r="L492" t="inlineStr">
        <is>
          <t>Cargue inicial oficial desde INVENTARIO.xlsx</t>
        </is>
      </c>
      <c r="M492" s="59" t="n">
        <v>46264</v>
      </c>
    </row>
    <row r="493">
      <c r="A493" t="n">
        <v>14515</v>
      </c>
      <c r="B493" t="inlineStr">
        <is>
          <t>DISCO DE CORTE PARA TRONZADORA 14"</t>
        </is>
      </c>
      <c r="C493" t="inlineStr">
        <is>
          <t>Consumibles</t>
        </is>
      </c>
      <c r="D493" t="inlineStr">
        <is>
          <t>General</t>
        </is>
      </c>
      <c r="E493" t="inlineStr">
        <is>
          <t>Unidad</t>
        </is>
      </c>
      <c r="F493" t="inlineStr">
        <is>
          <t>Generico</t>
        </is>
      </c>
      <c r="G493" t="inlineStr">
        <is>
          <t>-</t>
        </is>
      </c>
      <c r="H493" t="inlineStr">
        <is>
          <t>-</t>
        </is>
      </c>
      <c r="I493" t="inlineStr">
        <is>
          <t>NO APLICA</t>
        </is>
      </c>
      <c r="J493" t="n">
        <v>5</v>
      </c>
      <c r="K493" t="inlineStr">
        <is>
          <t>Activo</t>
        </is>
      </c>
      <c r="L493" t="inlineStr">
        <is>
          <t>Cargue inicial oficial desde INVENTARIO.xlsx</t>
        </is>
      </c>
      <c r="M493" s="59" t="n">
        <v>46264</v>
      </c>
    </row>
    <row r="494">
      <c r="A494" t="n">
        <v>14718</v>
      </c>
      <c r="B494" t="inlineStr">
        <is>
          <t>PUNTA PHILLIPS ESTRIA</t>
        </is>
      </c>
      <c r="C494" t="inlineStr">
        <is>
          <t>Materiales</t>
        </is>
      </c>
      <c r="D494" t="inlineStr">
        <is>
          <t>General</t>
        </is>
      </c>
      <c r="E494" t="inlineStr">
        <is>
          <t>Unidad</t>
        </is>
      </c>
      <c r="F494" t="inlineStr">
        <is>
          <t>Generico</t>
        </is>
      </c>
      <c r="G494" t="inlineStr">
        <is>
          <t>-</t>
        </is>
      </c>
      <c r="H494" t="inlineStr">
        <is>
          <t>-</t>
        </is>
      </c>
      <c r="I494" t="inlineStr">
        <is>
          <t>NO APLICA</t>
        </is>
      </c>
      <c r="J494" t="n">
        <v>5</v>
      </c>
      <c r="K494" t="inlineStr">
        <is>
          <t>Activo</t>
        </is>
      </c>
      <c r="L494" t="inlineStr">
        <is>
          <t>Cargue inicial oficial desde INVENTARIO.xlsx</t>
        </is>
      </c>
      <c r="M494" s="59" t="n">
        <v>46264</v>
      </c>
    </row>
    <row r="495">
      <c r="A495" t="n">
        <v>14838</v>
      </c>
      <c r="B495" t="inlineStr">
        <is>
          <t>CHAZO MARIPOSA PLASTICO BEIGE 3/8"</t>
        </is>
      </c>
      <c r="C495" t="inlineStr">
        <is>
          <t>Tornilleria</t>
        </is>
      </c>
      <c r="D495" t="inlineStr">
        <is>
          <t>General</t>
        </is>
      </c>
      <c r="E495" t="inlineStr">
        <is>
          <t>Unidad</t>
        </is>
      </c>
      <c r="F495" t="inlineStr">
        <is>
          <t>Generico</t>
        </is>
      </c>
      <c r="G495" t="inlineStr">
        <is>
          <t>-</t>
        </is>
      </c>
      <c r="H495" t="inlineStr">
        <is>
          <t>-</t>
        </is>
      </c>
      <c r="I495" t="inlineStr">
        <is>
          <t>NO APLICA</t>
        </is>
      </c>
      <c r="J495" t="n">
        <v>5</v>
      </c>
      <c r="K495" t="inlineStr">
        <is>
          <t>Activo</t>
        </is>
      </c>
      <c r="L495" t="inlineStr">
        <is>
          <t>Cargue inicial oficial desde INVENTARIO.xlsx</t>
        </is>
      </c>
      <c r="M495" s="59" t="n">
        <v>46264</v>
      </c>
    </row>
    <row r="496">
      <c r="A496" t="n">
        <v>14841</v>
      </c>
      <c r="B496" t="inlineStr">
        <is>
          <t>DPS TIPO 2 - 2P DS40-120 CITEL</t>
        </is>
      </c>
      <c r="C496" t="inlineStr">
        <is>
          <t>Materiales</t>
        </is>
      </c>
      <c r="D496" t="inlineStr">
        <is>
          <t>General</t>
        </is>
      </c>
      <c r="E496" t="inlineStr">
        <is>
          <t>Unidad</t>
        </is>
      </c>
      <c r="F496" t="inlineStr">
        <is>
          <t>Generico</t>
        </is>
      </c>
      <c r="G496" t="inlineStr">
        <is>
          <t>-</t>
        </is>
      </c>
      <c r="H496" t="inlineStr">
        <is>
          <t>-</t>
        </is>
      </c>
      <c r="I496" t="inlineStr">
        <is>
          <t>NO APLICA</t>
        </is>
      </c>
      <c r="J496" t="n">
        <v>5</v>
      </c>
      <c r="K496" t="inlineStr">
        <is>
          <t>Activo</t>
        </is>
      </c>
      <c r="L496" t="inlineStr">
        <is>
          <t>Cargue inicial oficial desde INVENTARIO.xlsx</t>
        </is>
      </c>
      <c r="M496" s="59" t="n">
        <v>46264</v>
      </c>
    </row>
    <row r="497">
      <c r="A497" t="n">
        <v>14842</v>
      </c>
      <c r="B497" t="inlineStr">
        <is>
          <t>MEDIDOR BIFASICO TRIFILAR D2000 2X120/208V 2X5(100)A EMSI  D2000</t>
        </is>
      </c>
      <c r="C497" t="inlineStr">
        <is>
          <t>Materiales</t>
        </is>
      </c>
      <c r="D497" t="inlineStr">
        <is>
          <t>General</t>
        </is>
      </c>
      <c r="E497" t="inlineStr">
        <is>
          <t>Unidad</t>
        </is>
      </c>
      <c r="F497" t="inlineStr">
        <is>
          <t>Generico</t>
        </is>
      </c>
      <c r="G497" t="inlineStr">
        <is>
          <t>-</t>
        </is>
      </c>
      <c r="H497" t="inlineStr">
        <is>
          <t>-</t>
        </is>
      </c>
      <c r="I497" t="inlineStr">
        <is>
          <t>NO APLICA</t>
        </is>
      </c>
      <c r="J497" t="n">
        <v>5</v>
      </c>
      <c r="K497" t="inlineStr">
        <is>
          <t>Activo</t>
        </is>
      </c>
      <c r="L497" t="inlineStr">
        <is>
          <t>Cargue inicial oficial desde INVENTARIO.xlsx</t>
        </is>
      </c>
      <c r="M497" s="59" t="n">
        <v>46264</v>
      </c>
    </row>
    <row r="498">
      <c r="A498" t="n">
        <v>14859</v>
      </c>
      <c r="B498" t="inlineStr">
        <is>
          <t>TORNILLO AUTOPERFORANTE HEXAGONAL PUNTA BROCA 12-14 X 1/4"</t>
        </is>
      </c>
      <c r="C498" t="inlineStr">
        <is>
          <t>Tornilleria</t>
        </is>
      </c>
      <c r="D498" t="inlineStr">
        <is>
          <t>General</t>
        </is>
      </c>
      <c r="E498" t="inlineStr">
        <is>
          <t>Unidad</t>
        </is>
      </c>
      <c r="F498" t="inlineStr">
        <is>
          <t>Generico</t>
        </is>
      </c>
      <c r="G498" t="inlineStr">
        <is>
          <t>-</t>
        </is>
      </c>
      <c r="H498" t="inlineStr">
        <is>
          <t>-</t>
        </is>
      </c>
      <c r="I498" t="inlineStr">
        <is>
          <t>NO APLICA</t>
        </is>
      </c>
      <c r="J498" t="n">
        <v>5</v>
      </c>
      <c r="K498" t="inlineStr">
        <is>
          <t>Activo</t>
        </is>
      </c>
      <c r="L498" t="inlineStr">
        <is>
          <t>Cargue inicial oficial desde INVENTARIO.xlsx</t>
        </is>
      </c>
      <c r="M498" s="59" t="n">
        <v>46264</v>
      </c>
    </row>
    <row r="499">
      <c r="A499" t="n">
        <v>14860</v>
      </c>
      <c r="B499" t="inlineStr">
        <is>
          <t>TORNILLO AUTOPERFORANTE HEXAGONAL PUNTA BROCA 12-14 X 2"</t>
        </is>
      </c>
      <c r="C499" t="inlineStr">
        <is>
          <t>Tornilleria</t>
        </is>
      </c>
      <c r="D499" t="inlineStr">
        <is>
          <t>General</t>
        </is>
      </c>
      <c r="E499" t="inlineStr">
        <is>
          <t>Unidad</t>
        </is>
      </c>
      <c r="F499" t="inlineStr">
        <is>
          <t>Generico</t>
        </is>
      </c>
      <c r="G499" t="inlineStr">
        <is>
          <t>-</t>
        </is>
      </c>
      <c r="H499" t="inlineStr">
        <is>
          <t>-</t>
        </is>
      </c>
      <c r="I499" t="inlineStr">
        <is>
          <t>NO APLICA</t>
        </is>
      </c>
      <c r="J499" t="n">
        <v>5</v>
      </c>
      <c r="K499" t="inlineStr">
        <is>
          <t>Activo</t>
        </is>
      </c>
      <c r="L499" t="inlineStr">
        <is>
          <t>Cargue inicial oficial desde INVENTARIO.xlsx</t>
        </is>
      </c>
      <c r="M499" s="59" t="n">
        <v>46264</v>
      </c>
    </row>
    <row r="500">
      <c r="A500" t="n">
        <v>14861</v>
      </c>
      <c r="B500" t="inlineStr">
        <is>
          <t>TORNILLO AUTOPERFORANTE HEXAGONAL PUNTA BROCA 12-14 X 4"</t>
        </is>
      </c>
      <c r="C500" t="inlineStr">
        <is>
          <t>Tornilleria</t>
        </is>
      </c>
      <c r="D500" t="inlineStr">
        <is>
          <t>General</t>
        </is>
      </c>
      <c r="E500" t="inlineStr">
        <is>
          <t>Unidad</t>
        </is>
      </c>
      <c r="F500" t="inlineStr">
        <is>
          <t>Generico</t>
        </is>
      </c>
      <c r="G500" t="inlineStr">
        <is>
          <t>-</t>
        </is>
      </c>
      <c r="H500" t="inlineStr">
        <is>
          <t>-</t>
        </is>
      </c>
      <c r="I500" t="inlineStr">
        <is>
          <t>NO APLICA</t>
        </is>
      </c>
      <c r="J500" t="n">
        <v>5</v>
      </c>
      <c r="K500" t="inlineStr">
        <is>
          <t>Activo</t>
        </is>
      </c>
      <c r="L500" t="inlineStr">
        <is>
          <t>Cargue inicial oficial desde INVENTARIO.xlsx</t>
        </is>
      </c>
      <c r="M500" s="59" t="n">
        <v>46264</v>
      </c>
    </row>
    <row r="501">
      <c r="A501" t="n">
        <v>14863</v>
      </c>
      <c r="B501" t="inlineStr">
        <is>
          <t>TORNILLO AUTOPERFORANTE HEXAGONAL PUNTA BROCA 12-14 X 5"</t>
        </is>
      </c>
      <c r="C501" t="inlineStr">
        <is>
          <t>Tornilleria</t>
        </is>
      </c>
      <c r="D501" t="inlineStr">
        <is>
          <t>General</t>
        </is>
      </c>
      <c r="E501" t="inlineStr">
        <is>
          <t>Unidad</t>
        </is>
      </c>
      <c r="F501" t="inlineStr">
        <is>
          <t>Generico</t>
        </is>
      </c>
      <c r="G501" t="inlineStr">
        <is>
          <t>-</t>
        </is>
      </c>
      <c r="H501" t="inlineStr">
        <is>
          <t>-</t>
        </is>
      </c>
      <c r="I501" t="inlineStr">
        <is>
          <t>NO APLICA</t>
        </is>
      </c>
      <c r="J501" t="n">
        <v>5</v>
      </c>
      <c r="K501" t="inlineStr">
        <is>
          <t>Activo</t>
        </is>
      </c>
      <c r="L501" t="inlineStr">
        <is>
          <t>Cargue inicial oficial desde INVENTARIO.xlsx</t>
        </is>
      </c>
      <c r="M501" s="59" t="n">
        <v>46264</v>
      </c>
    </row>
    <row r="502">
      <c r="A502" t="n">
        <v>14865</v>
      </c>
      <c r="B502" t="inlineStr">
        <is>
          <t>TORNILLO M8X15</t>
        </is>
      </c>
      <c r="C502" t="inlineStr">
        <is>
          <t>Tornilleria</t>
        </is>
      </c>
      <c r="D502" t="inlineStr">
        <is>
          <t>General</t>
        </is>
      </c>
      <c r="E502" t="inlineStr">
        <is>
          <t>Unidad</t>
        </is>
      </c>
      <c r="F502" t="inlineStr">
        <is>
          <t>Generico</t>
        </is>
      </c>
      <c r="G502" t="inlineStr">
        <is>
          <t>-</t>
        </is>
      </c>
      <c r="H502" t="inlineStr">
        <is>
          <t>-</t>
        </is>
      </c>
      <c r="I502" t="inlineStr">
        <is>
          <t>NO APLICA</t>
        </is>
      </c>
      <c r="J502" t="n">
        <v>5</v>
      </c>
      <c r="K502" t="inlineStr">
        <is>
          <t>Activo</t>
        </is>
      </c>
      <c r="L502" t="inlineStr">
        <is>
          <t>Cargue inicial oficial desde INVENTARIO.xlsx</t>
        </is>
      </c>
      <c r="M502" s="59" t="n">
        <v>46264</v>
      </c>
    </row>
    <row r="503">
      <c r="A503" t="n">
        <v>14867</v>
      </c>
      <c r="B503" t="inlineStr">
        <is>
          <t>TORNILLO M8X35</t>
        </is>
      </c>
      <c r="C503" t="inlineStr">
        <is>
          <t>Tornilleria</t>
        </is>
      </c>
      <c r="D503" t="inlineStr">
        <is>
          <t>General</t>
        </is>
      </c>
      <c r="E503" t="inlineStr">
        <is>
          <t>Unidad</t>
        </is>
      </c>
      <c r="F503" t="inlineStr">
        <is>
          <t>Generico</t>
        </is>
      </c>
      <c r="G503" t="inlineStr">
        <is>
          <t>-</t>
        </is>
      </c>
      <c r="H503" t="inlineStr">
        <is>
          <t>-</t>
        </is>
      </c>
      <c r="I503" t="inlineStr">
        <is>
          <t>NO APLICA</t>
        </is>
      </c>
      <c r="J503" t="n">
        <v>5</v>
      </c>
      <c r="K503" t="inlineStr">
        <is>
          <t>Activo</t>
        </is>
      </c>
      <c r="L503" t="inlineStr">
        <is>
          <t>Cargue inicial oficial desde INVENTARIO.xlsx</t>
        </is>
      </c>
      <c r="M503" s="59" t="n">
        <v>46264</v>
      </c>
    </row>
    <row r="504">
      <c r="A504" t="n">
        <v>15459</v>
      </c>
      <c r="B504" t="inlineStr">
        <is>
          <t>INTERRUPTOR TERMOMAGNÉTICO INDUSTRIAL TRIPOLAR SERIE SUSOL 400-500A (65KA) LS</t>
        </is>
      </c>
      <c r="C504" t="inlineStr">
        <is>
          <t>Elementos electricos</t>
        </is>
      </c>
      <c r="D504" t="inlineStr">
        <is>
          <t>General</t>
        </is>
      </c>
      <c r="E504" t="inlineStr">
        <is>
          <t>Unidad</t>
        </is>
      </c>
      <c r="F504" t="inlineStr">
        <is>
          <t>Generico</t>
        </is>
      </c>
      <c r="G504" t="inlineStr">
        <is>
          <t>-</t>
        </is>
      </c>
      <c r="H504" t="inlineStr">
        <is>
          <t>C2</t>
        </is>
      </c>
      <c r="I504" t="inlineStr">
        <is>
          <t>NO APLICA</t>
        </is>
      </c>
      <c r="J504" t="n">
        <v>5</v>
      </c>
      <c r="K504" t="inlineStr">
        <is>
          <t>Activo</t>
        </is>
      </c>
      <c r="L504" t="inlineStr">
        <is>
          <t>Cargue inicial oficial desde INVENTARIO.xlsx</t>
        </is>
      </c>
      <c r="M504" s="59" t="n">
        <v>46264</v>
      </c>
    </row>
    <row r="505">
      <c r="A505" t="n">
        <v>15865</v>
      </c>
      <c r="B505" t="inlineStr">
        <is>
          <t>TRANSFERENCIA MANUAL 63A EN CAJA 20X20X10 CON PILOTOS</t>
        </is>
      </c>
      <c r="C505" t="inlineStr">
        <is>
          <t>Materiales</t>
        </is>
      </c>
      <c r="D505" t="inlineStr">
        <is>
          <t>General</t>
        </is>
      </c>
      <c r="E505" t="inlineStr">
        <is>
          <t>Caja</t>
        </is>
      </c>
      <c r="F505" t="inlineStr">
        <is>
          <t>Generico</t>
        </is>
      </c>
      <c r="G505" t="inlineStr">
        <is>
          <t>-</t>
        </is>
      </c>
      <c r="H505" t="inlineStr">
        <is>
          <t>-</t>
        </is>
      </c>
      <c r="I505" t="inlineStr">
        <is>
          <t>NO APLICA</t>
        </is>
      </c>
      <c r="J505" t="n">
        <v>5</v>
      </c>
      <c r="K505" t="inlineStr">
        <is>
          <t>Activo</t>
        </is>
      </c>
      <c r="L505" t="inlineStr">
        <is>
          <t>Cargue inicial oficial desde INVENTARIO.xlsx</t>
        </is>
      </c>
      <c r="M505" s="59" t="n">
        <v>46264</v>
      </c>
    </row>
    <row r="506">
      <c r="A506" t="n">
        <v>17785</v>
      </c>
      <c r="B506" t="inlineStr">
        <is>
          <t>CONDULETA LR 3" INTEMPERIE</t>
        </is>
      </c>
      <c r="C506" t="inlineStr">
        <is>
          <t>Materiales</t>
        </is>
      </c>
      <c r="D506" t="inlineStr">
        <is>
          <t>General</t>
        </is>
      </c>
      <c r="E506" t="inlineStr">
        <is>
          <t>Unidad</t>
        </is>
      </c>
      <c r="F506" t="inlineStr">
        <is>
          <t>Generico</t>
        </is>
      </c>
      <c r="G506" t="inlineStr">
        <is>
          <t>-</t>
        </is>
      </c>
      <c r="H506" t="inlineStr">
        <is>
          <t>A5</t>
        </is>
      </c>
      <c r="I506" t="inlineStr">
        <is>
          <t>NO APLICA</t>
        </is>
      </c>
      <c r="J506" t="n">
        <v>5</v>
      </c>
      <c r="K506" t="inlineStr">
        <is>
          <t>Activo</t>
        </is>
      </c>
      <c r="L506" t="inlineStr">
        <is>
          <t>Cargue inicial oficial desde INVENTARIO.xlsx</t>
        </is>
      </c>
      <c r="M506" s="59" t="n">
        <v>46264</v>
      </c>
    </row>
    <row r="507">
      <c r="A507" t="n">
        <v>18396</v>
      </c>
      <c r="B507" t="inlineStr">
        <is>
          <t>PUNTAS PH2</t>
        </is>
      </c>
      <c r="C507" t="inlineStr">
        <is>
          <t>Materiales</t>
        </is>
      </c>
      <c r="D507" t="inlineStr">
        <is>
          <t>General</t>
        </is>
      </c>
      <c r="E507" t="inlineStr">
        <is>
          <t>Unidad</t>
        </is>
      </c>
      <c r="F507" t="inlineStr">
        <is>
          <t>Generico</t>
        </is>
      </c>
      <c r="G507" t="inlineStr">
        <is>
          <t>-</t>
        </is>
      </c>
      <c r="H507" t="inlineStr">
        <is>
          <t>-</t>
        </is>
      </c>
      <c r="I507" t="inlineStr">
        <is>
          <t>NO APLICA</t>
        </is>
      </c>
      <c r="J507" t="n">
        <v>5</v>
      </c>
      <c r="K507" t="inlineStr">
        <is>
          <t>Activo</t>
        </is>
      </c>
      <c r="L507" t="inlineStr">
        <is>
          <t>Cargue inicial oficial desde INVENTARIO.xlsx</t>
        </is>
      </c>
      <c r="M507" s="59" t="n">
        <v>46264</v>
      </c>
    </row>
    <row r="508">
      <c r="A508" t="n">
        <v>18402</v>
      </c>
      <c r="B508" t="inlineStr">
        <is>
          <t>DISCO DIAMANTADO SEGMENTADO 4-1/2-PULG</t>
        </is>
      </c>
      <c r="C508" t="inlineStr">
        <is>
          <t>Consumibles</t>
        </is>
      </c>
      <c r="D508" t="inlineStr">
        <is>
          <t>General</t>
        </is>
      </c>
      <c r="E508" t="inlineStr">
        <is>
          <t>Unidad</t>
        </is>
      </c>
      <c r="F508" t="inlineStr">
        <is>
          <t>Generico</t>
        </is>
      </c>
      <c r="G508" t="inlineStr">
        <is>
          <t>-</t>
        </is>
      </c>
      <c r="H508" t="inlineStr">
        <is>
          <t>-</t>
        </is>
      </c>
      <c r="I508" t="inlineStr">
        <is>
          <t>NO APLICA</t>
        </is>
      </c>
      <c r="J508" t="n">
        <v>5</v>
      </c>
      <c r="K508" t="inlineStr">
        <is>
          <t>Activo</t>
        </is>
      </c>
      <c r="L508" t="inlineStr">
        <is>
          <t>Cargue inicial oficial desde INVENTARIO.xlsx</t>
        </is>
      </c>
      <c r="M508" s="59" t="n">
        <v>46264</v>
      </c>
    </row>
    <row r="509">
      <c r="A509" t="n">
        <v>18403</v>
      </c>
      <c r="B509" t="inlineStr">
        <is>
          <t>DISCO CORTE ALUMINIO 10-PULG 80 DIENTES</t>
        </is>
      </c>
      <c r="C509" t="inlineStr">
        <is>
          <t>Consumibles</t>
        </is>
      </c>
      <c r="D509" t="inlineStr">
        <is>
          <t>General</t>
        </is>
      </c>
      <c r="E509" t="inlineStr">
        <is>
          <t>Unidad</t>
        </is>
      </c>
      <c r="F509" t="inlineStr">
        <is>
          <t>Generico</t>
        </is>
      </c>
      <c r="G509" t="inlineStr">
        <is>
          <t>-</t>
        </is>
      </c>
      <c r="H509" t="inlineStr">
        <is>
          <t>-</t>
        </is>
      </c>
      <c r="I509" t="inlineStr">
        <is>
          <t>NO APLICA</t>
        </is>
      </c>
      <c r="J509" t="n">
        <v>5</v>
      </c>
      <c r="K509" t="inlineStr">
        <is>
          <t>Activo</t>
        </is>
      </c>
      <c r="L509" t="inlineStr">
        <is>
          <t>Cargue inicial oficial desde INVENTARIO.xlsx</t>
        </is>
      </c>
      <c r="M509" s="59" t="n">
        <v>46264</v>
      </c>
    </row>
    <row r="510">
      <c r="A510" t="n">
        <v>18409</v>
      </c>
      <c r="B510" t="inlineStr">
        <is>
          <t>BROCA SDS PLUS PARA CONCRETO 1/2"</t>
        </is>
      </c>
      <c r="C510" t="inlineStr">
        <is>
          <t>Materiales</t>
        </is>
      </c>
      <c r="D510" t="inlineStr">
        <is>
          <t>General</t>
        </is>
      </c>
      <c r="E510" t="inlineStr">
        <is>
          <t>Unidad</t>
        </is>
      </c>
      <c r="F510" t="inlineStr">
        <is>
          <t>Generico</t>
        </is>
      </c>
      <c r="G510" t="inlineStr">
        <is>
          <t>-</t>
        </is>
      </c>
      <c r="H510" t="inlineStr">
        <is>
          <t>-</t>
        </is>
      </c>
      <c r="I510" t="inlineStr">
        <is>
          <t>NO APLICA</t>
        </is>
      </c>
      <c r="J510" t="n">
        <v>5</v>
      </c>
      <c r="K510" t="inlineStr">
        <is>
          <t>Activo</t>
        </is>
      </c>
      <c r="L510" t="inlineStr">
        <is>
          <t>Cargue inicial oficial desde INVENTARIO.xlsx</t>
        </is>
      </c>
      <c r="M510" s="59" t="n">
        <v>46264</v>
      </c>
    </row>
    <row r="511">
      <c r="A511" t="n">
        <v>18410</v>
      </c>
      <c r="B511" t="inlineStr">
        <is>
          <t>BROCA PARA CONCRETO 5/8"</t>
        </is>
      </c>
      <c r="C511" t="inlineStr">
        <is>
          <t>Materiales</t>
        </is>
      </c>
      <c r="D511" t="inlineStr">
        <is>
          <t>General</t>
        </is>
      </c>
      <c r="E511" t="inlineStr">
        <is>
          <t>Unidad</t>
        </is>
      </c>
      <c r="F511" t="inlineStr">
        <is>
          <t>Generico</t>
        </is>
      </c>
      <c r="G511" t="inlineStr">
        <is>
          <t>-</t>
        </is>
      </c>
      <c r="H511" t="inlineStr">
        <is>
          <t>-</t>
        </is>
      </c>
      <c r="I511" t="inlineStr">
        <is>
          <t>NO APLICA</t>
        </is>
      </c>
      <c r="J511" t="n">
        <v>5</v>
      </c>
      <c r="K511" t="inlineStr">
        <is>
          <t>Activo</t>
        </is>
      </c>
      <c r="L511" t="inlineStr">
        <is>
          <t>Cargue inicial oficial desde INVENTARIO.xlsx</t>
        </is>
      </c>
      <c r="M511" s="59" t="n">
        <v>46264</v>
      </c>
    </row>
    <row r="512">
      <c r="A512" t="n">
        <v>18411</v>
      </c>
      <c r="B512" t="inlineStr">
        <is>
          <t>BROCA PARA CONCRETO 1/8"</t>
        </is>
      </c>
      <c r="C512" t="inlineStr">
        <is>
          <t>Materiales</t>
        </is>
      </c>
      <c r="D512" t="inlineStr">
        <is>
          <t>General</t>
        </is>
      </c>
      <c r="E512" t="inlineStr">
        <is>
          <t>Unidad</t>
        </is>
      </c>
      <c r="F512" t="inlineStr">
        <is>
          <t>Generico</t>
        </is>
      </c>
      <c r="G512" t="inlineStr">
        <is>
          <t>-</t>
        </is>
      </c>
      <c r="H512" t="inlineStr">
        <is>
          <t>-</t>
        </is>
      </c>
      <c r="I512" t="inlineStr">
        <is>
          <t>NO APLICA</t>
        </is>
      </c>
      <c r="J512" t="n">
        <v>5</v>
      </c>
      <c r="K512" t="inlineStr">
        <is>
          <t>Activo</t>
        </is>
      </c>
      <c r="L512" t="inlineStr">
        <is>
          <t>Cargue inicial oficial desde INVENTARIO.xlsx</t>
        </is>
      </c>
      <c r="M512" s="59" t="n">
        <v>46264</v>
      </c>
    </row>
    <row r="513">
      <c r="A513" t="n">
        <v>18412</v>
      </c>
      <c r="B513" t="inlineStr">
        <is>
          <t>BROCA ACERO RÁPIDO 3/16"</t>
        </is>
      </c>
      <c r="C513" t="inlineStr">
        <is>
          <t>Materiales</t>
        </is>
      </c>
      <c r="D513" t="inlineStr">
        <is>
          <t>General</t>
        </is>
      </c>
      <c r="E513" t="inlineStr">
        <is>
          <t>Unidad</t>
        </is>
      </c>
      <c r="F513" t="inlineStr">
        <is>
          <t>Generico</t>
        </is>
      </c>
      <c r="G513" t="inlineStr">
        <is>
          <t>-</t>
        </is>
      </c>
      <c r="H513" t="inlineStr">
        <is>
          <t>-</t>
        </is>
      </c>
      <c r="I513" t="inlineStr">
        <is>
          <t>NO APLICA</t>
        </is>
      </c>
      <c r="J513" t="n">
        <v>5</v>
      </c>
      <c r="K513" t="inlineStr">
        <is>
          <t>Activo</t>
        </is>
      </c>
      <c r="L513" t="inlineStr">
        <is>
          <t>Cargue inicial oficial desde INVENTARIO.xlsx</t>
        </is>
      </c>
      <c r="M513" s="59" t="n">
        <v>46264</v>
      </c>
    </row>
    <row r="514">
      <c r="A514" t="n">
        <v>18414</v>
      </c>
      <c r="B514" t="inlineStr">
        <is>
          <t>AVELLANADOR 5/8-PULG VÁSTAGO HEXAGONAL 1/4-PULG</t>
        </is>
      </c>
      <c r="C514" t="inlineStr">
        <is>
          <t>Materiales</t>
        </is>
      </c>
      <c r="D514" t="inlineStr">
        <is>
          <t>General</t>
        </is>
      </c>
      <c r="E514" t="inlineStr">
        <is>
          <t>Unidad</t>
        </is>
      </c>
      <c r="F514" t="inlineStr">
        <is>
          <t>Generico</t>
        </is>
      </c>
      <c r="G514" t="inlineStr">
        <is>
          <t>-</t>
        </is>
      </c>
      <c r="H514" t="inlineStr">
        <is>
          <t>-</t>
        </is>
      </c>
      <c r="I514" t="inlineStr">
        <is>
          <t>NO APLICA</t>
        </is>
      </c>
      <c r="J514" t="n">
        <v>5</v>
      </c>
      <c r="K514" t="inlineStr">
        <is>
          <t>Activo</t>
        </is>
      </c>
      <c r="L514" t="inlineStr">
        <is>
          <t>Cargue inicial oficial desde INVENTARIO.xlsx</t>
        </is>
      </c>
      <c r="M514" s="59" t="n">
        <v>46264</v>
      </c>
    </row>
    <row r="515">
      <c r="A515" t="n">
        <v>18418</v>
      </c>
      <c r="B515" t="inlineStr">
        <is>
          <t>ADAPTADOR IMPACTO CUADRANTE DE 3/8"</t>
        </is>
      </c>
      <c r="C515" t="inlineStr">
        <is>
          <t>Materiales</t>
        </is>
      </c>
      <c r="D515" t="inlineStr">
        <is>
          <t>General</t>
        </is>
      </c>
      <c r="E515" t="inlineStr">
        <is>
          <t>Unidad</t>
        </is>
      </c>
      <c r="F515" t="inlineStr">
        <is>
          <t>Generico</t>
        </is>
      </c>
      <c r="G515" t="inlineStr">
        <is>
          <t>-</t>
        </is>
      </c>
      <c r="H515" t="inlineStr">
        <is>
          <t>-</t>
        </is>
      </c>
      <c r="I515" t="inlineStr">
        <is>
          <t>NO APLICA</t>
        </is>
      </c>
      <c r="J515" t="n">
        <v>5</v>
      </c>
      <c r="K515" t="inlineStr">
        <is>
          <t>Activo</t>
        </is>
      </c>
      <c r="L515" t="inlineStr">
        <is>
          <t>Cargue inicial oficial desde INVENTARIO.xlsx</t>
        </is>
      </c>
      <c r="M515" s="59" t="n">
        <v>46264</v>
      </c>
    </row>
    <row r="516">
      <c r="A516" t="n">
        <v>18419</v>
      </c>
      <c r="B516" t="inlineStr">
        <is>
          <t>ADAPTADOR IMPACTO CUADRANTE DE 1/4"</t>
        </is>
      </c>
      <c r="C516" t="inlineStr">
        <is>
          <t>Materiales</t>
        </is>
      </c>
      <c r="D516" t="inlineStr">
        <is>
          <t>General</t>
        </is>
      </c>
      <c r="E516" t="inlineStr">
        <is>
          <t>Unidad</t>
        </is>
      </c>
      <c r="F516" t="inlineStr">
        <is>
          <t>Generico</t>
        </is>
      </c>
      <c r="G516" t="inlineStr">
        <is>
          <t>-</t>
        </is>
      </c>
      <c r="H516" t="inlineStr">
        <is>
          <t>-</t>
        </is>
      </c>
      <c r="I516" t="inlineStr">
        <is>
          <t>NO APLICA</t>
        </is>
      </c>
      <c r="J516" t="n">
        <v>5</v>
      </c>
      <c r="K516" t="inlineStr">
        <is>
          <t>Activo</t>
        </is>
      </c>
      <c r="L516" t="inlineStr">
        <is>
          <t>Cargue inicial oficial desde INVENTARIO.xlsx</t>
        </is>
      </c>
      <c r="M516" s="59" t="n">
        <v>46264</v>
      </c>
    </row>
    <row r="517">
      <c r="A517" t="n">
        <v>18420</v>
      </c>
      <c r="B517" t="inlineStr">
        <is>
          <t>ADAPTADOR IMPACTO CUADRANTE DE 1/2"</t>
        </is>
      </c>
      <c r="C517" t="inlineStr">
        <is>
          <t>Materiales</t>
        </is>
      </c>
      <c r="D517" t="inlineStr">
        <is>
          <t>General</t>
        </is>
      </c>
      <c r="E517" t="inlineStr">
        <is>
          <t>Unidad</t>
        </is>
      </c>
      <c r="F517" t="inlineStr">
        <is>
          <t>Generico</t>
        </is>
      </c>
      <c r="G517" t="inlineStr">
        <is>
          <t>-</t>
        </is>
      </c>
      <c r="H517" t="inlineStr">
        <is>
          <t>-</t>
        </is>
      </c>
      <c r="I517" t="inlineStr">
        <is>
          <t>NO APLICA</t>
        </is>
      </c>
      <c r="J517" t="n">
        <v>5</v>
      </c>
      <c r="K517" t="inlineStr">
        <is>
          <t>Activo</t>
        </is>
      </c>
      <c r="L517" t="inlineStr">
        <is>
          <t>Cargue inicial oficial desde INVENTARIO.xlsx</t>
        </is>
      </c>
      <c r="M517" s="59" t="n">
        <v>46264</v>
      </c>
    </row>
    <row r="518">
      <c r="A518" t="n">
        <v>19520</v>
      </c>
      <c r="B518" t="inlineStr">
        <is>
          <t>MEDIDOR TRIFÁSICO BIDERECCIÓN (MT174 MEDIDA DIRECTA)</t>
        </is>
      </c>
      <c r="C518" t="inlineStr">
        <is>
          <t>Materiales</t>
        </is>
      </c>
      <c r="D518" t="inlineStr">
        <is>
          <t>General</t>
        </is>
      </c>
      <c r="E518" t="inlineStr">
        <is>
          <t>Unidad</t>
        </is>
      </c>
      <c r="F518" t="inlineStr">
        <is>
          <t>Generico</t>
        </is>
      </c>
      <c r="G518" t="inlineStr">
        <is>
          <t>-</t>
        </is>
      </c>
      <c r="H518" t="inlineStr">
        <is>
          <t>-</t>
        </is>
      </c>
      <c r="I518" t="inlineStr">
        <is>
          <t>NO APLICA</t>
        </is>
      </c>
      <c r="J518" t="n">
        <v>5</v>
      </c>
      <c r="K518" t="inlineStr">
        <is>
          <t>Activo</t>
        </is>
      </c>
      <c r="L518" t="inlineStr">
        <is>
          <t>Cargue inicial oficial desde INVENTARIO.xlsx</t>
        </is>
      </c>
      <c r="M518" s="59" t="n">
        <v>46264</v>
      </c>
    </row>
    <row r="519">
      <c r="A519" t="n">
        <v>22569</v>
      </c>
      <c r="B519" t="inlineStr">
        <is>
          <t>TABLERO DE DISTRIBUCIÓN RESIDENCIAL SOBREPONER IP41 6 MÓDULOS DIN</t>
        </is>
      </c>
      <c r="C519" t="inlineStr">
        <is>
          <t>Materiales</t>
        </is>
      </c>
      <c r="D519" t="inlineStr">
        <is>
          <t>General</t>
        </is>
      </c>
      <c r="E519" t="inlineStr">
        <is>
          <t>Unidad</t>
        </is>
      </c>
      <c r="F519" t="inlineStr">
        <is>
          <t>Generico</t>
        </is>
      </c>
      <c r="G519" t="inlineStr">
        <is>
          <t>-</t>
        </is>
      </c>
      <c r="H519" t="inlineStr">
        <is>
          <t>B2</t>
        </is>
      </c>
      <c r="I519" t="inlineStr">
        <is>
          <t>NO APLICA</t>
        </is>
      </c>
      <c r="J519" t="n">
        <v>5</v>
      </c>
      <c r="K519" t="inlineStr">
        <is>
          <t>Activo</t>
        </is>
      </c>
      <c r="L519" t="inlineStr">
        <is>
          <t>Cargue inicial oficial desde INVENTARIO.xlsx</t>
        </is>
      </c>
      <c r="M519" s="59" t="n">
        <v>46264</v>
      </c>
    </row>
    <row r="520">
      <c r="A520" t="n">
        <v>22570</v>
      </c>
      <c r="B520" t="inlineStr">
        <is>
          <t>TAPA INTERPERIE 20/50A SIGMA DUPLEX</t>
        </is>
      </c>
      <c r="C520" t="inlineStr">
        <is>
          <t>Materiales</t>
        </is>
      </c>
      <c r="D520" t="inlineStr">
        <is>
          <t>General</t>
        </is>
      </c>
      <c r="E520" t="inlineStr">
        <is>
          <t>Unidad</t>
        </is>
      </c>
      <c r="F520" t="inlineStr">
        <is>
          <t>Generico</t>
        </is>
      </c>
      <c r="G520" t="inlineStr">
        <is>
          <t>-</t>
        </is>
      </c>
      <c r="H520" t="inlineStr">
        <is>
          <t>-</t>
        </is>
      </c>
      <c r="I520" t="inlineStr">
        <is>
          <t>NO APLICA</t>
        </is>
      </c>
      <c r="J520" t="n">
        <v>5</v>
      </c>
      <c r="K520" t="inlineStr">
        <is>
          <t>Activo</t>
        </is>
      </c>
      <c r="L520" t="inlineStr">
        <is>
          <t>Cargue inicial oficial desde INVENTARIO.xlsx</t>
        </is>
      </c>
      <c r="M520" s="59" t="n">
        <v>46264</v>
      </c>
    </row>
    <row r="521">
      <c r="A521" t="n">
        <v>23773</v>
      </c>
      <c r="B521" t="inlineStr">
        <is>
          <t>BROCA ACERO RAPIDO 1/2</t>
        </is>
      </c>
      <c r="C521" t="inlineStr">
        <is>
          <t>Materiales</t>
        </is>
      </c>
      <c r="D521" t="inlineStr">
        <is>
          <t>General</t>
        </is>
      </c>
      <c r="E521" t="inlineStr">
        <is>
          <t>Unidad</t>
        </is>
      </c>
      <c r="F521" t="inlineStr">
        <is>
          <t>Generico</t>
        </is>
      </c>
      <c r="G521" t="inlineStr">
        <is>
          <t>-</t>
        </is>
      </c>
      <c r="H521" t="inlineStr">
        <is>
          <t>-</t>
        </is>
      </c>
      <c r="I521" t="inlineStr">
        <is>
          <t>NO APLICA</t>
        </is>
      </c>
      <c r="J521" t="n">
        <v>5</v>
      </c>
      <c r="K521" t="inlineStr">
        <is>
          <t>Activo</t>
        </is>
      </c>
      <c r="L521" t="inlineStr">
        <is>
          <t>Cargue inicial oficial desde INVENTARIO.xlsx</t>
        </is>
      </c>
      <c r="M521" s="59" t="n">
        <v>46264</v>
      </c>
    </row>
    <row r="522">
      <c r="A522" t="n">
        <v>23774</v>
      </c>
      <c r="B522" t="inlineStr">
        <is>
          <t>TERMOENCOGIBLE TRANSPARENTE 6MM</t>
        </is>
      </c>
      <c r="C522" t="inlineStr">
        <is>
          <t>Materiales</t>
        </is>
      </c>
      <c r="D522" t="inlineStr">
        <is>
          <t>General</t>
        </is>
      </c>
      <c r="E522" t="inlineStr">
        <is>
          <t>Unidad</t>
        </is>
      </c>
      <c r="F522" t="inlineStr">
        <is>
          <t>Generico</t>
        </is>
      </c>
      <c r="G522" t="inlineStr">
        <is>
          <t>-</t>
        </is>
      </c>
      <c r="H522" t="inlineStr">
        <is>
          <t>-</t>
        </is>
      </c>
      <c r="I522" t="inlineStr">
        <is>
          <t>NO APLICA</t>
        </is>
      </c>
      <c r="J522" t="n">
        <v>5</v>
      </c>
      <c r="K522" t="inlineStr">
        <is>
          <t>Activo</t>
        </is>
      </c>
      <c r="L522" t="inlineStr">
        <is>
          <t>Cargue inicial oficial desde INVENTARIO.xlsx</t>
        </is>
      </c>
      <c r="M522" s="59" t="n">
        <v>46264</v>
      </c>
    </row>
    <row r="523">
      <c r="A523" t="n">
        <v>24474</v>
      </c>
      <c r="B523" t="inlineStr">
        <is>
          <t>PUNTA CAPTADORA 5/8 X 1MT CON BASE DX ALUMINIO</t>
        </is>
      </c>
      <c r="C523" t="inlineStr">
        <is>
          <t>Materiales</t>
        </is>
      </c>
      <c r="D523" t="inlineStr">
        <is>
          <t>General</t>
        </is>
      </c>
      <c r="E523" t="inlineStr">
        <is>
          <t>Unidad</t>
        </is>
      </c>
      <c r="F523" t="inlineStr">
        <is>
          <t>Generico</t>
        </is>
      </c>
      <c r="G523" t="inlineStr">
        <is>
          <t>-</t>
        </is>
      </c>
      <c r="H523" t="inlineStr">
        <is>
          <t>-</t>
        </is>
      </c>
      <c r="I523" t="inlineStr">
        <is>
          <t>NO APLICA</t>
        </is>
      </c>
      <c r="J523" t="n">
        <v>5</v>
      </c>
      <c r="K523" t="inlineStr">
        <is>
          <t>Activo</t>
        </is>
      </c>
      <c r="L523" t="inlineStr">
        <is>
          <t>Cargue inicial oficial desde INVENTARIO.xlsx</t>
        </is>
      </c>
      <c r="M523" s="59" t="n">
        <v>46264</v>
      </c>
    </row>
    <row r="524">
      <c r="A524" t="n">
        <v>24475</v>
      </c>
      <c r="B524" t="inlineStr">
        <is>
          <t>BASE METÁLICA PARA PUNTA CAPTADORA ALUMINIO DE 5/8 ESCUÁLIDA</t>
        </is>
      </c>
      <c r="C524" t="inlineStr">
        <is>
          <t>Materiales</t>
        </is>
      </c>
      <c r="D524" t="inlineStr">
        <is>
          <t>General</t>
        </is>
      </c>
      <c r="E524" t="inlineStr">
        <is>
          <t>Unidad</t>
        </is>
      </c>
      <c r="F524" t="inlineStr">
        <is>
          <t>Generico</t>
        </is>
      </c>
      <c r="G524" t="inlineStr">
        <is>
          <t>-</t>
        </is>
      </c>
      <c r="H524" t="inlineStr">
        <is>
          <t>-</t>
        </is>
      </c>
      <c r="I524" t="inlineStr">
        <is>
          <t>NO APLICA</t>
        </is>
      </c>
      <c r="J524" t="n">
        <v>5</v>
      </c>
      <c r="K524" t="inlineStr">
        <is>
          <t>Activo</t>
        </is>
      </c>
      <c r="L524" t="inlineStr">
        <is>
          <t>Cargue inicial oficial desde INVENTARIO.xlsx</t>
        </is>
      </c>
      <c r="M524" s="59" t="n">
        <v>46264</v>
      </c>
    </row>
    <row r="525">
      <c r="A525" t="n">
        <v>24476</v>
      </c>
      <c r="B525" t="inlineStr">
        <is>
          <t>ALAMBRÓN ALUMINIO 8MM APANTALLAMIENTO</t>
        </is>
      </c>
      <c r="C525" t="inlineStr">
        <is>
          <t>Materiales</t>
        </is>
      </c>
      <c r="D525" t="inlineStr">
        <is>
          <t>General</t>
        </is>
      </c>
      <c r="E525" t="inlineStr">
        <is>
          <t>Unidad</t>
        </is>
      </c>
      <c r="F525" t="inlineStr">
        <is>
          <t>Generico</t>
        </is>
      </c>
      <c r="G525" t="inlineStr">
        <is>
          <t>-</t>
        </is>
      </c>
      <c r="H525" t="inlineStr">
        <is>
          <t>-</t>
        </is>
      </c>
      <c r="I525" t="inlineStr">
        <is>
          <t>NO APLICA</t>
        </is>
      </c>
      <c r="J525" t="n">
        <v>5</v>
      </c>
      <c r="K525" t="inlineStr">
        <is>
          <t>Activo</t>
        </is>
      </c>
      <c r="L525" t="inlineStr">
        <is>
          <t>Cargue inicial oficial desde INVENTARIO.xlsx</t>
        </is>
      </c>
      <c r="M525" s="59" t="n">
        <v>46264</v>
      </c>
    </row>
    <row r="526">
      <c r="A526" t="n">
        <v>24481</v>
      </c>
      <c r="B526" t="inlineStr">
        <is>
          <t>VARILLA COOPER WELD 14.28MM X 2.4MTS</t>
        </is>
      </c>
      <c r="C526" t="inlineStr">
        <is>
          <t>Materiales</t>
        </is>
      </c>
      <c r="D526" t="inlineStr">
        <is>
          <t>General</t>
        </is>
      </c>
      <c r="E526" t="inlineStr">
        <is>
          <t>Unidad</t>
        </is>
      </c>
      <c r="F526" t="inlineStr">
        <is>
          <t>Generico</t>
        </is>
      </c>
      <c r="G526" t="inlineStr">
        <is>
          <t>-</t>
        </is>
      </c>
      <c r="H526" t="inlineStr">
        <is>
          <t>-</t>
        </is>
      </c>
      <c r="I526" t="inlineStr">
        <is>
          <t>NO APLICA</t>
        </is>
      </c>
      <c r="J526" t="n">
        <v>5</v>
      </c>
      <c r="K526" t="inlineStr">
        <is>
          <t>Activo</t>
        </is>
      </c>
      <c r="L526" t="inlineStr">
        <is>
          <t>Cargue inicial oficial desde INVENTARIO.xlsx</t>
        </is>
      </c>
      <c r="M526" s="59" t="n">
        <v>46264</v>
      </c>
    </row>
    <row r="527">
      <c r="A527" t="n">
        <v>25375</v>
      </c>
      <c r="B527" t="inlineStr">
        <is>
          <t>HOYMILES CABLE TRONCAL AC CON ACCESORIOS</t>
        </is>
      </c>
      <c r="C527" t="inlineStr">
        <is>
          <t>Cableado</t>
        </is>
      </c>
      <c r="D527" t="inlineStr">
        <is>
          <t>General</t>
        </is>
      </c>
      <c r="E527" t="inlineStr">
        <is>
          <t>Metro</t>
        </is>
      </c>
      <c r="F527" t="inlineStr">
        <is>
          <t>Generico</t>
        </is>
      </c>
      <c r="G527" t="inlineStr">
        <is>
          <t>-</t>
        </is>
      </c>
      <c r="H527" t="inlineStr">
        <is>
          <t>-</t>
        </is>
      </c>
      <c r="I527" t="inlineStr">
        <is>
          <t>NO APLICA</t>
        </is>
      </c>
      <c r="J527" t="n">
        <v>5</v>
      </c>
      <c r="K527" t="inlineStr">
        <is>
          <t>Activo</t>
        </is>
      </c>
      <c r="L527" t="inlineStr">
        <is>
          <t>Cargue inicial oficial desde INVENTARIO.xlsx</t>
        </is>
      </c>
      <c r="M527" s="59" t="n">
        <v>46264</v>
      </c>
    </row>
    <row r="528">
      <c r="A528" t="n">
        <v>25681</v>
      </c>
      <c r="B528" t="inlineStr">
        <is>
          <t>TERMOENCOGIBLE CABLE 2/0 AWG COLOR NARANJA</t>
        </is>
      </c>
      <c r="C528" t="inlineStr">
        <is>
          <t>Cableado</t>
        </is>
      </c>
      <c r="D528" t="inlineStr">
        <is>
          <t>General</t>
        </is>
      </c>
      <c r="E528" t="inlineStr">
        <is>
          <t>Metro</t>
        </is>
      </c>
      <c r="F528" t="inlineStr">
        <is>
          <t>Generico</t>
        </is>
      </c>
      <c r="G528" t="inlineStr">
        <is>
          <t>-</t>
        </is>
      </c>
      <c r="H528" t="inlineStr">
        <is>
          <t>-</t>
        </is>
      </c>
      <c r="I528" t="inlineStr">
        <is>
          <t>NO APLICA</t>
        </is>
      </c>
      <c r="J528" t="n">
        <v>5</v>
      </c>
      <c r="K528" t="inlineStr">
        <is>
          <t>Activo</t>
        </is>
      </c>
      <c r="L528" t="inlineStr">
        <is>
          <t>Cargue inicial oficial desde INVENTARIO.xlsx</t>
        </is>
      </c>
      <c r="M528" s="59" t="n">
        <v>46264</v>
      </c>
    </row>
    <row r="529">
      <c r="A529" t="n">
        <v>25687</v>
      </c>
      <c r="B529" t="inlineStr">
        <is>
          <t>ANTENA ALTA GANANCIA ANT700 3MTS</t>
        </is>
      </c>
      <c r="C529" t="inlineStr">
        <is>
          <t>Materiales</t>
        </is>
      </c>
      <c r="D529" t="inlineStr">
        <is>
          <t>General</t>
        </is>
      </c>
      <c r="E529" t="inlineStr">
        <is>
          <t>Unidad</t>
        </is>
      </c>
      <c r="F529" t="inlineStr">
        <is>
          <t>Generico</t>
        </is>
      </c>
      <c r="G529" t="inlineStr">
        <is>
          <t>-</t>
        </is>
      </c>
      <c r="H529" t="inlineStr">
        <is>
          <t>-</t>
        </is>
      </c>
      <c r="I529" t="inlineStr">
        <is>
          <t>NO APLICA</t>
        </is>
      </c>
      <c r="J529" t="n">
        <v>5</v>
      </c>
      <c r="K529" t="inlineStr">
        <is>
          <t>Activo</t>
        </is>
      </c>
      <c r="L529" t="inlineStr">
        <is>
          <t>Cargue inicial oficial desde INVENTARIO.xlsx</t>
        </is>
      </c>
      <c r="M529" s="59" t="n">
        <v>46264</v>
      </c>
    </row>
    <row r="530">
      <c r="A530" t="n">
        <v>25690</v>
      </c>
      <c r="B530" t="inlineStr">
        <is>
          <t>DPS TIPO 2- DAC50 -30-150  50KA CITEL</t>
        </is>
      </c>
      <c r="C530" t="inlineStr">
        <is>
          <t>Materiales</t>
        </is>
      </c>
      <c r="D530" t="inlineStr">
        <is>
          <t>General</t>
        </is>
      </c>
      <c r="E530" t="inlineStr">
        <is>
          <t>Unidad</t>
        </is>
      </c>
      <c r="F530" t="inlineStr">
        <is>
          <t>Generico</t>
        </is>
      </c>
      <c r="G530" t="inlineStr">
        <is>
          <t>-</t>
        </is>
      </c>
      <c r="H530" t="inlineStr">
        <is>
          <t>-</t>
        </is>
      </c>
      <c r="I530" t="inlineStr">
        <is>
          <t>NO APLICA</t>
        </is>
      </c>
      <c r="J530" t="n">
        <v>5</v>
      </c>
      <c r="K530" t="inlineStr">
        <is>
          <t>Activo</t>
        </is>
      </c>
      <c r="L530" t="inlineStr">
        <is>
          <t>Cargue inicial oficial desde INVENTARIO.xlsx</t>
        </is>
      </c>
      <c r="M530" s="59" t="n">
        <v>46264</v>
      </c>
    </row>
    <row r="531">
      <c r="A531" t="n">
        <v>27418</v>
      </c>
      <c r="B531" t="inlineStr">
        <is>
          <t>TERMINAL BIMETALICA OJO 250 KCMIL HUECO 3/8" CILES</t>
        </is>
      </c>
      <c r="C531" t="inlineStr">
        <is>
          <t>Elementos electricos</t>
        </is>
      </c>
      <c r="D531" t="inlineStr">
        <is>
          <t>General</t>
        </is>
      </c>
      <c r="E531" t="inlineStr">
        <is>
          <t>Unidad</t>
        </is>
      </c>
      <c r="F531" t="inlineStr">
        <is>
          <t>Generico</t>
        </is>
      </c>
      <c r="G531" t="inlineStr">
        <is>
          <t>-</t>
        </is>
      </c>
      <c r="H531" t="inlineStr">
        <is>
          <t>-</t>
        </is>
      </c>
      <c r="I531" t="inlineStr">
        <is>
          <t>NO APLICA</t>
        </is>
      </c>
      <c r="J531" t="n">
        <v>5</v>
      </c>
      <c r="K531" t="inlineStr">
        <is>
          <t>Activo</t>
        </is>
      </c>
      <c r="L531" t="inlineStr">
        <is>
          <t>Cargue inicial oficial desde INVENTARIO.xlsx</t>
        </is>
      </c>
      <c r="M531" s="59" t="n">
        <v>46264</v>
      </c>
    </row>
    <row r="532">
      <c r="A532" t="n">
        <v>27419</v>
      </c>
      <c r="B532" t="inlineStr">
        <is>
          <t>TERMINAL BIMETALICA OJO 350 KCMIL HUECO 3/8" CILES</t>
        </is>
      </c>
      <c r="C532" t="inlineStr">
        <is>
          <t>Elementos electricos</t>
        </is>
      </c>
      <c r="D532" t="inlineStr">
        <is>
          <t>General</t>
        </is>
      </c>
      <c r="E532" t="inlineStr">
        <is>
          <t>Unidad</t>
        </is>
      </c>
      <c r="F532" t="inlineStr">
        <is>
          <t>Generico</t>
        </is>
      </c>
      <c r="G532" t="inlineStr">
        <is>
          <t>-</t>
        </is>
      </c>
      <c r="H532" t="inlineStr">
        <is>
          <t>-</t>
        </is>
      </c>
      <c r="I532" t="inlineStr">
        <is>
          <t>NO APLICA</t>
        </is>
      </c>
      <c r="J532" t="n">
        <v>5</v>
      </c>
      <c r="K532" t="inlineStr">
        <is>
          <t>Activo</t>
        </is>
      </c>
      <c r="L532" t="inlineStr">
        <is>
          <t>Cargue inicial oficial desde INVENTARIO.xlsx</t>
        </is>
      </c>
      <c r="M532" s="59" t="n">
        <v>46264</v>
      </c>
    </row>
    <row r="533">
      <c r="A533" t="n">
        <v>27423</v>
      </c>
      <c r="B533" t="inlineStr">
        <is>
          <t>TERMINAL BIMETALICA OJO 1/0 AWG HUECO 3/8" CILES</t>
        </is>
      </c>
      <c r="C533" t="inlineStr">
        <is>
          <t>Elementos electricos</t>
        </is>
      </c>
      <c r="D533" t="inlineStr">
        <is>
          <t>General</t>
        </is>
      </c>
      <c r="E533" t="inlineStr">
        <is>
          <t>Unidad</t>
        </is>
      </c>
      <c r="F533" t="inlineStr">
        <is>
          <t>Generico</t>
        </is>
      </c>
      <c r="G533" t="inlineStr">
        <is>
          <t>-</t>
        </is>
      </c>
      <c r="H533" t="inlineStr">
        <is>
          <t>-</t>
        </is>
      </c>
      <c r="I533" t="inlineStr">
        <is>
          <t>NO APLICA</t>
        </is>
      </c>
      <c r="J533" t="n">
        <v>5</v>
      </c>
      <c r="K533" t="inlineStr">
        <is>
          <t>Activo</t>
        </is>
      </c>
      <c r="L533" t="inlineStr">
        <is>
          <t>Cargue inicial oficial desde INVENTARIO.xlsx</t>
        </is>
      </c>
      <c r="M533" s="59" t="n">
        <v>46264</v>
      </c>
    </row>
    <row r="534">
      <c r="A534" t="n">
        <v>27425</v>
      </c>
      <c r="B534" t="inlineStr">
        <is>
          <t>TERMINAL BIMETALICA OJO 4/0 AWG HUECO 3/8" CILES</t>
        </is>
      </c>
      <c r="C534" t="inlineStr">
        <is>
          <t>Elementos electricos</t>
        </is>
      </c>
      <c r="D534" t="inlineStr">
        <is>
          <t>General</t>
        </is>
      </c>
      <c r="E534" t="inlineStr">
        <is>
          <t>Unidad</t>
        </is>
      </c>
      <c r="F534" t="inlineStr">
        <is>
          <t>Generico</t>
        </is>
      </c>
      <c r="G534" t="inlineStr">
        <is>
          <t>-</t>
        </is>
      </c>
      <c r="H534" t="inlineStr">
        <is>
          <t>-</t>
        </is>
      </c>
      <c r="I534" t="inlineStr">
        <is>
          <t>NO APLICA</t>
        </is>
      </c>
      <c r="J534" t="n">
        <v>5</v>
      </c>
      <c r="K534" t="inlineStr">
        <is>
          <t>Activo</t>
        </is>
      </c>
      <c r="L534" t="inlineStr">
        <is>
          <t>Cargue inicial oficial desde INVENTARIO.xlsx</t>
        </is>
      </c>
      <c r="M534" s="59" t="n">
        <v>46264</v>
      </c>
    </row>
    <row r="535">
      <c r="A535" t="n">
        <v>27426</v>
      </c>
      <c r="B535" t="inlineStr">
        <is>
          <t>TERMINAL BIMETALICA OJO 2/0 AWG HUECO 3/8" CILES</t>
        </is>
      </c>
      <c r="C535" t="inlineStr">
        <is>
          <t>Elementos electricos</t>
        </is>
      </c>
      <c r="D535" t="inlineStr">
        <is>
          <t>General</t>
        </is>
      </c>
      <c r="E535" t="inlineStr">
        <is>
          <t>Unidad</t>
        </is>
      </c>
      <c r="F535" t="inlineStr">
        <is>
          <t>Generico</t>
        </is>
      </c>
      <c r="G535" t="inlineStr">
        <is>
          <t>-</t>
        </is>
      </c>
      <c r="H535" t="inlineStr">
        <is>
          <t>-</t>
        </is>
      </c>
      <c r="I535" t="inlineStr">
        <is>
          <t>NO APLICA</t>
        </is>
      </c>
      <c r="J535" t="n">
        <v>5</v>
      </c>
      <c r="K535" t="inlineStr">
        <is>
          <t>Activo</t>
        </is>
      </c>
      <c r="L535" t="inlineStr">
        <is>
          <t>Cargue inicial oficial desde INVENTARIO.xlsx</t>
        </is>
      </c>
      <c r="M535" s="59" t="n">
        <v>46264</v>
      </c>
    </row>
    <row r="536">
      <c r="A536" t="n">
        <v>28025</v>
      </c>
      <c r="B536" t="inlineStr">
        <is>
          <t>COPA SIERRA 2 1/2"</t>
        </is>
      </c>
      <c r="C536" t="inlineStr">
        <is>
          <t>Materiales</t>
        </is>
      </c>
      <c r="D536" t="inlineStr">
        <is>
          <t>General</t>
        </is>
      </c>
      <c r="E536" t="inlineStr">
        <is>
          <t>Unidad</t>
        </is>
      </c>
      <c r="F536" t="inlineStr">
        <is>
          <t>Generico</t>
        </is>
      </c>
      <c r="G536" t="inlineStr">
        <is>
          <t>-</t>
        </is>
      </c>
      <c r="H536" t="inlineStr">
        <is>
          <t>-</t>
        </is>
      </c>
      <c r="I536" t="inlineStr">
        <is>
          <t>NO APLICA</t>
        </is>
      </c>
      <c r="J536" t="n">
        <v>5</v>
      </c>
      <c r="K536" t="inlineStr">
        <is>
          <t>Activo</t>
        </is>
      </c>
      <c r="L536" t="inlineStr">
        <is>
          <t>Cargue inicial oficial desde INVENTARIO.xlsx</t>
        </is>
      </c>
      <c r="M536" s="59" t="n">
        <v>46264</v>
      </c>
    </row>
    <row r="537">
      <c r="A537" t="n">
        <v>28217</v>
      </c>
      <c r="B537" t="inlineStr">
        <is>
          <t>VARILLA ROSCADA GALVANIZADA 5/16"</t>
        </is>
      </c>
      <c r="C537" t="inlineStr">
        <is>
          <t>Tornilleria</t>
        </is>
      </c>
      <c r="D537" t="inlineStr">
        <is>
          <t>General</t>
        </is>
      </c>
      <c r="E537" t="inlineStr">
        <is>
          <t>Unidad</t>
        </is>
      </c>
      <c r="F537" t="inlineStr">
        <is>
          <t>Generico</t>
        </is>
      </c>
      <c r="G537" t="inlineStr">
        <is>
          <t>-</t>
        </is>
      </c>
      <c r="H537" t="inlineStr">
        <is>
          <t>-</t>
        </is>
      </c>
      <c r="I537" t="inlineStr">
        <is>
          <t>NO APLICA</t>
        </is>
      </c>
      <c r="J537" t="n">
        <v>5</v>
      </c>
      <c r="K537" t="inlineStr">
        <is>
          <t>Activo</t>
        </is>
      </c>
      <c r="L537" t="inlineStr">
        <is>
          <t>Cargue inicial oficial desde INVENTARIO.xlsx</t>
        </is>
      </c>
      <c r="M537" s="59" t="n">
        <v>46264</v>
      </c>
    </row>
    <row r="538">
      <c r="A538" t="n">
        <v>28418</v>
      </c>
      <c r="B538" t="inlineStr">
        <is>
          <t>JUEGO DE BROCA ESCALONADA ALTA VELOCIDAD TRUPER</t>
        </is>
      </c>
      <c r="C538" t="inlineStr">
        <is>
          <t>Materiales</t>
        </is>
      </c>
      <c r="D538" t="inlineStr">
        <is>
          <t>General</t>
        </is>
      </c>
      <c r="E538" t="inlineStr">
        <is>
          <t>Unidad</t>
        </is>
      </c>
      <c r="F538" t="inlineStr">
        <is>
          <t>Generico</t>
        </is>
      </c>
      <c r="G538" t="inlineStr">
        <is>
          <t>-</t>
        </is>
      </c>
      <c r="H538" t="inlineStr">
        <is>
          <t>-</t>
        </is>
      </c>
      <c r="I538" t="inlineStr">
        <is>
          <t>NO APLICA</t>
        </is>
      </c>
      <c r="J538" t="n">
        <v>5</v>
      </c>
      <c r="K538" t="inlineStr">
        <is>
          <t>Activo</t>
        </is>
      </c>
      <c r="L538" t="inlineStr">
        <is>
          <t>Cargue inicial oficial desde INVENTARIO.xlsx</t>
        </is>
      </c>
      <c r="M538" s="59" t="n">
        <v>46264</v>
      </c>
    </row>
    <row r="539">
      <c r="A539" t="n">
        <v>29430</v>
      </c>
      <c r="B539" t="inlineStr">
        <is>
          <t>TORNILLO TROPICALIZADO GRADO 8 5/16" X 1 1/4"</t>
        </is>
      </c>
      <c r="C539" t="inlineStr">
        <is>
          <t>Tornilleria</t>
        </is>
      </c>
      <c r="D539" t="inlineStr">
        <is>
          <t>General</t>
        </is>
      </c>
      <c r="E539" t="inlineStr">
        <is>
          <t>Unidad</t>
        </is>
      </c>
      <c r="F539" t="inlineStr">
        <is>
          <t>Generico</t>
        </is>
      </c>
      <c r="G539" t="inlineStr">
        <is>
          <t>-</t>
        </is>
      </c>
      <c r="H539" t="inlineStr">
        <is>
          <t>-</t>
        </is>
      </c>
      <c r="I539" t="inlineStr">
        <is>
          <t>NO APLICA</t>
        </is>
      </c>
      <c r="J539" t="n">
        <v>5</v>
      </c>
      <c r="K539" t="inlineStr">
        <is>
          <t>Activo</t>
        </is>
      </c>
      <c r="L539" t="inlineStr">
        <is>
          <t>Cargue inicial oficial desde INVENTARIO.xlsx</t>
        </is>
      </c>
      <c r="M539" s="59" t="n">
        <v>46264</v>
      </c>
    </row>
    <row r="540">
      <c r="A540" t="n">
        <v>29565</v>
      </c>
      <c r="B540" t="inlineStr">
        <is>
          <t>TORNILLO PUNTA DE AGUJA 9X1 1/2"</t>
        </is>
      </c>
      <c r="C540" t="inlineStr">
        <is>
          <t>Tornilleria</t>
        </is>
      </c>
      <c r="D540" t="inlineStr">
        <is>
          <t>General</t>
        </is>
      </c>
      <c r="E540" t="inlineStr">
        <is>
          <t>Unidad</t>
        </is>
      </c>
      <c r="F540" t="inlineStr">
        <is>
          <t>Generico</t>
        </is>
      </c>
      <c r="G540" t="inlineStr">
        <is>
          <t>-</t>
        </is>
      </c>
      <c r="H540" t="inlineStr">
        <is>
          <t>T2</t>
        </is>
      </c>
      <c r="I540" t="inlineStr">
        <is>
          <t>NO APLICA</t>
        </is>
      </c>
      <c r="J540" t="n">
        <v>5</v>
      </c>
      <c r="K540" t="inlineStr">
        <is>
          <t>Activo</t>
        </is>
      </c>
      <c r="L540" t="inlineStr">
        <is>
          <t>Cargue inicial oficial desde INVENTARIO.xlsx</t>
        </is>
      </c>
      <c r="M540" s="59" t="n">
        <v>46264</v>
      </c>
    </row>
    <row r="541">
      <c r="A541" t="n">
        <v>30176</v>
      </c>
      <c r="B541" t="inlineStr">
        <is>
          <t>VARILLA DE COBRE COBRE 2,4M X 12,7MM</t>
        </is>
      </c>
      <c r="C541" t="inlineStr">
        <is>
          <t>Materiales</t>
        </is>
      </c>
      <c r="D541" t="inlineStr">
        <is>
          <t>General</t>
        </is>
      </c>
      <c r="E541" t="inlineStr">
        <is>
          <t>Unidad</t>
        </is>
      </c>
      <c r="F541" t="inlineStr">
        <is>
          <t>Generico</t>
        </is>
      </c>
      <c r="G541" t="inlineStr">
        <is>
          <t>-</t>
        </is>
      </c>
      <c r="H541" t="inlineStr">
        <is>
          <t>-</t>
        </is>
      </c>
      <c r="I541" t="inlineStr">
        <is>
          <t>NO APLICA</t>
        </is>
      </c>
      <c r="J541" t="n">
        <v>5</v>
      </c>
      <c r="K541" t="inlineStr">
        <is>
          <t>Activo</t>
        </is>
      </c>
      <c r="L541" t="inlineStr">
        <is>
          <t>Cargue inicial oficial desde INVENTARIO.xlsx</t>
        </is>
      </c>
      <c r="M541" s="59" t="n">
        <v>46264</v>
      </c>
    </row>
    <row r="542">
      <c r="A542" t="n">
        <v>31185</v>
      </c>
      <c r="B542" t="inlineStr">
        <is>
          <t>TERMOENCOGIBLE CABLE 4/0 AWG COLOR VERDE</t>
        </is>
      </c>
      <c r="C542" t="inlineStr">
        <is>
          <t>Cableado</t>
        </is>
      </c>
      <c r="D542" t="inlineStr">
        <is>
          <t>General</t>
        </is>
      </c>
      <c r="E542" t="inlineStr">
        <is>
          <t>Metro</t>
        </is>
      </c>
      <c r="F542" t="inlineStr">
        <is>
          <t>Generico</t>
        </is>
      </c>
      <c r="G542" t="inlineStr">
        <is>
          <t>-</t>
        </is>
      </c>
      <c r="H542" t="inlineStr">
        <is>
          <t>-</t>
        </is>
      </c>
      <c r="I542" t="inlineStr">
        <is>
          <t>NO APLICA</t>
        </is>
      </c>
      <c r="J542" t="n">
        <v>5</v>
      </c>
      <c r="K542" t="inlineStr">
        <is>
          <t>Activo</t>
        </is>
      </c>
      <c r="L542" t="inlineStr">
        <is>
          <t>Cargue inicial oficial desde INVENTARIO.xlsx</t>
        </is>
      </c>
      <c r="M542" s="59" t="n">
        <v>46264</v>
      </c>
    </row>
    <row r="543">
      <c r="A543" t="n">
        <v>31188</v>
      </c>
      <c r="B543" t="inlineStr">
        <is>
          <t>CAJA RADWELT 4X4 SALIDAS 3/4</t>
        </is>
      </c>
      <c r="C543" t="inlineStr">
        <is>
          <t>Materiales</t>
        </is>
      </c>
      <c r="D543" t="inlineStr">
        <is>
          <t>General</t>
        </is>
      </c>
      <c r="E543" t="inlineStr">
        <is>
          <t>Caja</t>
        </is>
      </c>
      <c r="F543" t="inlineStr">
        <is>
          <t>Generico</t>
        </is>
      </c>
      <c r="G543" t="inlineStr">
        <is>
          <t>-</t>
        </is>
      </c>
      <c r="H543" t="inlineStr">
        <is>
          <t>B2</t>
        </is>
      </c>
      <c r="I543" t="inlineStr">
        <is>
          <t>NO APLICA</t>
        </is>
      </c>
      <c r="J543" t="n">
        <v>5</v>
      </c>
      <c r="K543" t="inlineStr">
        <is>
          <t>Activo</t>
        </is>
      </c>
      <c r="L543" t="inlineStr">
        <is>
          <t>Cargue inicial oficial desde INVENTARIO.xlsx</t>
        </is>
      </c>
      <c r="M543" s="59" t="n">
        <v>46264</v>
      </c>
    </row>
    <row r="544">
      <c r="A544" t="n">
        <v>31189</v>
      </c>
      <c r="B544" t="inlineStr">
        <is>
          <t>CAJA RADWELT 4X2 SALIDAS 3/4</t>
        </is>
      </c>
      <c r="C544" t="inlineStr">
        <is>
          <t>Materiales</t>
        </is>
      </c>
      <c r="D544" t="inlineStr">
        <is>
          <t>General</t>
        </is>
      </c>
      <c r="E544" t="inlineStr">
        <is>
          <t>Caja</t>
        </is>
      </c>
      <c r="F544" t="inlineStr">
        <is>
          <t>Generico</t>
        </is>
      </c>
      <c r="G544" t="inlineStr">
        <is>
          <t>-</t>
        </is>
      </c>
      <c r="H544" t="inlineStr">
        <is>
          <t>B2</t>
        </is>
      </c>
      <c r="I544" t="inlineStr">
        <is>
          <t>NO APLICA</t>
        </is>
      </c>
      <c r="J544" t="n">
        <v>5</v>
      </c>
      <c r="K544" t="inlineStr">
        <is>
          <t>Activo</t>
        </is>
      </c>
      <c r="L544" t="inlineStr">
        <is>
          <t>Cargue inicial oficial desde INVENTARIO.xlsx</t>
        </is>
      </c>
      <c r="M544" s="59" t="n">
        <v>46264</v>
      </c>
    </row>
    <row r="545">
      <c r="A545" t="n">
        <v>31190</v>
      </c>
      <c r="B545" t="inlineStr">
        <is>
          <t>TAPACIEGA PARA CAJA RADWELT CAJA 4X4</t>
        </is>
      </c>
      <c r="C545" t="inlineStr">
        <is>
          <t>Materiales</t>
        </is>
      </c>
      <c r="D545" t="inlineStr">
        <is>
          <t>General</t>
        </is>
      </c>
      <c r="E545" t="inlineStr">
        <is>
          <t>Caja</t>
        </is>
      </c>
      <c r="F545" t="inlineStr">
        <is>
          <t>Generico</t>
        </is>
      </c>
      <c r="G545" t="inlineStr">
        <is>
          <t>-</t>
        </is>
      </c>
      <c r="H545" t="inlineStr">
        <is>
          <t>-</t>
        </is>
      </c>
      <c r="I545" t="inlineStr">
        <is>
          <t>NO APLICA</t>
        </is>
      </c>
      <c r="J545" t="n">
        <v>5</v>
      </c>
      <c r="K545" t="inlineStr">
        <is>
          <t>Activo</t>
        </is>
      </c>
      <c r="L545" t="inlineStr">
        <is>
          <t>Cargue inicial oficial desde INVENTARIO.xlsx</t>
        </is>
      </c>
      <c r="M545" s="59" t="n">
        <v>46264</v>
      </c>
    </row>
    <row r="546">
      <c r="A546" t="n">
        <v>31191</v>
      </c>
      <c r="B546" t="inlineStr">
        <is>
          <t>TAPACIEGA PARA CAJA RAWLT CAJA 4X2</t>
        </is>
      </c>
      <c r="C546" t="inlineStr">
        <is>
          <t>Materiales</t>
        </is>
      </c>
      <c r="D546" t="inlineStr">
        <is>
          <t>General</t>
        </is>
      </c>
      <c r="E546" t="inlineStr">
        <is>
          <t>Caja</t>
        </is>
      </c>
      <c r="F546" t="inlineStr">
        <is>
          <t>Generico</t>
        </is>
      </c>
      <c r="G546" t="inlineStr">
        <is>
          <t>-</t>
        </is>
      </c>
      <c r="H546" t="inlineStr">
        <is>
          <t>-</t>
        </is>
      </c>
      <c r="I546" t="inlineStr">
        <is>
          <t>NO APLICA</t>
        </is>
      </c>
      <c r="J546" t="n">
        <v>5</v>
      </c>
      <c r="K546" t="inlineStr">
        <is>
          <t>Activo</t>
        </is>
      </c>
      <c r="L546" t="inlineStr">
        <is>
          <t>Cargue inicial oficial desde INVENTARIO.xlsx</t>
        </is>
      </c>
      <c r="M546" s="59" t="n">
        <v>46264</v>
      </c>
    </row>
    <row r="547">
      <c r="A547" t="n">
        <v>33021</v>
      </c>
      <c r="B547" t="inlineStr">
        <is>
          <t>TORNILLO AUTOPERFORANTE PUNTA BROCA CABEZA LENTEJA 3/4*1/2"</t>
        </is>
      </c>
      <c r="C547" t="inlineStr">
        <is>
          <t>Tornilleria</t>
        </is>
      </c>
      <c r="D547" t="inlineStr">
        <is>
          <t>General</t>
        </is>
      </c>
      <c r="E547" t="inlineStr">
        <is>
          <t>Unidad</t>
        </is>
      </c>
      <c r="F547" t="inlineStr">
        <is>
          <t>Generico</t>
        </is>
      </c>
      <c r="G547" t="inlineStr">
        <is>
          <t>-</t>
        </is>
      </c>
      <c r="H547" t="inlineStr">
        <is>
          <t>-</t>
        </is>
      </c>
      <c r="I547" t="inlineStr">
        <is>
          <t>NO APLICA</t>
        </is>
      </c>
      <c r="J547" t="n">
        <v>5</v>
      </c>
      <c r="K547" t="inlineStr">
        <is>
          <t>Activo</t>
        </is>
      </c>
      <c r="L547" t="inlineStr">
        <is>
          <t>Cargue inicial oficial desde INVENTARIO.xlsx</t>
        </is>
      </c>
      <c r="M547" s="59" t="n">
        <v>46264</v>
      </c>
    </row>
    <row r="548">
      <c r="A548" t="n">
        <v>33028</v>
      </c>
      <c r="B548" t="inlineStr">
        <is>
          <t>CABLE TELDOR RS485 2 HILOS</t>
        </is>
      </c>
      <c r="C548" t="inlineStr">
        <is>
          <t>Cableado</t>
        </is>
      </c>
      <c r="D548" t="inlineStr">
        <is>
          <t>General</t>
        </is>
      </c>
      <c r="E548" t="inlineStr">
        <is>
          <t>Metro</t>
        </is>
      </c>
      <c r="F548" t="inlineStr">
        <is>
          <t>Generico</t>
        </is>
      </c>
      <c r="G548" t="inlineStr">
        <is>
          <t>-</t>
        </is>
      </c>
      <c r="H548" t="inlineStr">
        <is>
          <t>-</t>
        </is>
      </c>
      <c r="I548" t="inlineStr">
        <is>
          <t>NO APLICA</t>
        </is>
      </c>
      <c r="J548" t="n">
        <v>5</v>
      </c>
      <c r="K548" t="inlineStr">
        <is>
          <t>Activo</t>
        </is>
      </c>
      <c r="L548" t="inlineStr">
        <is>
          <t>Cargue inicial oficial desde INVENTARIO.xlsx</t>
        </is>
      </c>
      <c r="M548" s="59" t="n">
        <v>46264</v>
      </c>
    </row>
    <row r="549">
      <c r="A549" t="n">
        <v>33034</v>
      </c>
      <c r="B549" t="inlineStr">
        <is>
          <t>TERMINAL BIMETALICA OJO 4 AWG HUECO 1/4"</t>
        </is>
      </c>
      <c r="C549" t="inlineStr">
        <is>
          <t>Elementos electricos</t>
        </is>
      </c>
      <c r="D549" t="inlineStr">
        <is>
          <t>General</t>
        </is>
      </c>
      <c r="E549" t="inlineStr">
        <is>
          <t>Unidad</t>
        </is>
      </c>
      <c r="F549" t="inlineStr">
        <is>
          <t>Generico</t>
        </is>
      </c>
      <c r="G549" t="inlineStr">
        <is>
          <t>-</t>
        </is>
      </c>
      <c r="H549" t="inlineStr">
        <is>
          <t>-</t>
        </is>
      </c>
      <c r="I549" t="inlineStr">
        <is>
          <t>NO APLICA</t>
        </is>
      </c>
      <c r="J549" t="n">
        <v>5</v>
      </c>
      <c r="K549" t="inlineStr">
        <is>
          <t>Activo</t>
        </is>
      </c>
      <c r="L549" t="inlineStr">
        <is>
          <t>Cargue inicial oficial desde INVENTARIO.xlsx</t>
        </is>
      </c>
      <c r="M549" s="59" t="n">
        <v>46264</v>
      </c>
    </row>
    <row r="550">
      <c r="A550" t="n">
        <v>33237</v>
      </c>
      <c r="B550" t="inlineStr">
        <is>
          <t>CAJA DE PASO PLASTICA 11X11X8</t>
        </is>
      </c>
      <c r="C550" t="inlineStr">
        <is>
          <t>Materiales</t>
        </is>
      </c>
      <c r="D550" t="inlineStr">
        <is>
          <t>General</t>
        </is>
      </c>
      <c r="E550" t="inlineStr">
        <is>
          <t>Caja</t>
        </is>
      </c>
      <c r="F550" t="inlineStr">
        <is>
          <t>Generico</t>
        </is>
      </c>
      <c r="G550" t="inlineStr">
        <is>
          <t>-</t>
        </is>
      </c>
      <c r="H550" t="inlineStr">
        <is>
          <t>-</t>
        </is>
      </c>
      <c r="I550" t="inlineStr">
        <is>
          <t>NO APLICA</t>
        </is>
      </c>
      <c r="J550" t="n">
        <v>5</v>
      </c>
      <c r="K550" t="inlineStr">
        <is>
          <t>Activo</t>
        </is>
      </c>
      <c r="L550" t="inlineStr">
        <is>
          <t>Cargue inicial oficial desde INVENTARIO.xlsx</t>
        </is>
      </c>
      <c r="M550" s="59" t="n">
        <v>46264</v>
      </c>
    </row>
    <row r="551">
      <c r="A551" t="n">
        <v>34449</v>
      </c>
      <c r="B551" t="inlineStr">
        <is>
          <t>HUAWEI SUN2000-100KTL-M2</t>
        </is>
      </c>
      <c r="C551" t="inlineStr">
        <is>
          <t>Materiales</t>
        </is>
      </c>
      <c r="D551" t="inlineStr">
        <is>
          <t>General</t>
        </is>
      </c>
      <c r="E551" t="inlineStr">
        <is>
          <t>Unidad</t>
        </is>
      </c>
      <c r="F551" t="inlineStr">
        <is>
          <t>Generico</t>
        </is>
      </c>
      <c r="G551" t="inlineStr">
        <is>
          <t>-</t>
        </is>
      </c>
      <c r="H551" t="inlineStr">
        <is>
          <t>-</t>
        </is>
      </c>
      <c r="I551" t="inlineStr">
        <is>
          <t>NO APLICA</t>
        </is>
      </c>
      <c r="J551" t="n">
        <v>5</v>
      </c>
      <c r="K551" t="inlineStr">
        <is>
          <t>Activo</t>
        </is>
      </c>
      <c r="L551" t="inlineStr">
        <is>
          <t>Cargue inicial oficial desde INVENTARIO.xlsx</t>
        </is>
      </c>
      <c r="M551" s="59" t="n">
        <v>46264</v>
      </c>
    </row>
    <row r="552">
      <c r="A552" t="n">
        <v>35165</v>
      </c>
      <c r="B552" t="inlineStr">
        <is>
          <t>BROCA MURO 3/16"</t>
        </is>
      </c>
      <c r="C552" t="inlineStr">
        <is>
          <t>Materiales</t>
        </is>
      </c>
      <c r="D552" t="inlineStr">
        <is>
          <t>General</t>
        </is>
      </c>
      <c r="E552" t="inlineStr">
        <is>
          <t>Unidad</t>
        </is>
      </c>
      <c r="F552" t="inlineStr">
        <is>
          <t>Generico</t>
        </is>
      </c>
      <c r="G552" t="inlineStr">
        <is>
          <t>-</t>
        </is>
      </c>
      <c r="H552" t="inlineStr">
        <is>
          <t>-</t>
        </is>
      </c>
      <c r="I552" t="inlineStr">
        <is>
          <t>NO APLICA</t>
        </is>
      </c>
      <c r="J552" t="n">
        <v>5</v>
      </c>
      <c r="K552" t="inlineStr">
        <is>
          <t>Activo</t>
        </is>
      </c>
      <c r="L552" t="inlineStr">
        <is>
          <t>Cargue inicial oficial desde INVENTARIO.xlsx</t>
        </is>
      </c>
      <c r="M552" s="59" t="n">
        <v>46264</v>
      </c>
    </row>
    <row r="553">
      <c r="A553" t="n">
        <v>35177</v>
      </c>
      <c r="B553" t="inlineStr">
        <is>
          <t>TERMINAL BIMETALICA OJO 4/0 AWG HUECO 5/16" CILES</t>
        </is>
      </c>
      <c r="C553" t="inlineStr">
        <is>
          <t>Elementos electricos</t>
        </is>
      </c>
      <c r="D553" t="inlineStr">
        <is>
          <t>General</t>
        </is>
      </c>
      <c r="E553" t="inlineStr">
        <is>
          <t>Unidad</t>
        </is>
      </c>
      <c r="F553" t="inlineStr">
        <is>
          <t>Generico</t>
        </is>
      </c>
      <c r="G553" t="inlineStr">
        <is>
          <t>-</t>
        </is>
      </c>
      <c r="H553" t="inlineStr">
        <is>
          <t>-</t>
        </is>
      </c>
      <c r="I553" t="inlineStr">
        <is>
          <t>NO APLICA</t>
        </is>
      </c>
      <c r="J553" t="n">
        <v>5</v>
      </c>
      <c r="K553" t="inlineStr">
        <is>
          <t>Activo</t>
        </is>
      </c>
      <c r="L553" t="inlineStr">
        <is>
          <t>Cargue inicial oficial desde INVENTARIO.xlsx</t>
        </is>
      </c>
      <c r="M553" s="59" t="n">
        <v>46264</v>
      </c>
    </row>
    <row r="554">
      <c r="A554" t="n">
        <v>35475</v>
      </c>
      <c r="B554" t="inlineStr">
        <is>
          <t>PRENSA ESTOPA 5/16" DEXSON</t>
        </is>
      </c>
      <c r="C554" t="inlineStr">
        <is>
          <t>Materiales</t>
        </is>
      </c>
      <c r="D554" t="inlineStr">
        <is>
          <t>General</t>
        </is>
      </c>
      <c r="E554" t="inlineStr">
        <is>
          <t>Unidad</t>
        </is>
      </c>
      <c r="F554" t="inlineStr">
        <is>
          <t>Generico</t>
        </is>
      </c>
      <c r="G554" t="inlineStr">
        <is>
          <t>-</t>
        </is>
      </c>
      <c r="H554" t="inlineStr">
        <is>
          <t>-</t>
        </is>
      </c>
      <c r="I554" t="inlineStr">
        <is>
          <t>NO APLICA</t>
        </is>
      </c>
      <c r="J554" t="n">
        <v>5</v>
      </c>
      <c r="K554" t="inlineStr">
        <is>
          <t>Activo</t>
        </is>
      </c>
      <c r="L554" t="inlineStr">
        <is>
          <t>Cargue inicial oficial desde INVENTARIO.xlsx</t>
        </is>
      </c>
      <c r="M554" s="59" t="n">
        <v>46264</v>
      </c>
    </row>
    <row r="555">
      <c r="A555" t="n">
        <v>35479</v>
      </c>
      <c r="B555" t="inlineStr">
        <is>
          <t>MENSULA CANAL SENCILLO 60CM</t>
        </is>
      </c>
      <c r="C555" t="inlineStr">
        <is>
          <t>Materiales</t>
        </is>
      </c>
      <c r="D555" t="inlineStr">
        <is>
          <t>General</t>
        </is>
      </c>
      <c r="E555" t="inlineStr">
        <is>
          <t>Unidad</t>
        </is>
      </c>
      <c r="F555" t="inlineStr">
        <is>
          <t>Generico</t>
        </is>
      </c>
      <c r="G555" t="inlineStr">
        <is>
          <t>-</t>
        </is>
      </c>
      <c r="H555" t="inlineStr">
        <is>
          <t>-</t>
        </is>
      </c>
      <c r="I555" t="inlineStr">
        <is>
          <t>NO APLICA</t>
        </is>
      </c>
      <c r="J555" t="n">
        <v>5</v>
      </c>
      <c r="K555" t="inlineStr">
        <is>
          <t>Activo</t>
        </is>
      </c>
      <c r="L555" t="inlineStr">
        <is>
          <t>Cargue inicial oficial desde INVENTARIO.xlsx</t>
        </is>
      </c>
      <c r="M555" s="59" t="n">
        <v>46264</v>
      </c>
    </row>
    <row r="556">
      <c r="A556" t="n">
        <v>35482</v>
      </c>
      <c r="B556" t="inlineStr">
        <is>
          <t>TERMINAL OJO 6 AWG HUECO 1/4"</t>
        </is>
      </c>
      <c r="C556" t="inlineStr">
        <is>
          <t>Elementos electricos</t>
        </is>
      </c>
      <c r="D556" t="inlineStr">
        <is>
          <t>General</t>
        </is>
      </c>
      <c r="E556" t="inlineStr">
        <is>
          <t>Unidad</t>
        </is>
      </c>
      <c r="F556" t="inlineStr">
        <is>
          <t>Generico</t>
        </is>
      </c>
      <c r="G556" t="inlineStr">
        <is>
          <t>-</t>
        </is>
      </c>
      <c r="H556" t="inlineStr">
        <is>
          <t>-</t>
        </is>
      </c>
      <c r="I556" t="inlineStr">
        <is>
          <t>NO APLICA</t>
        </is>
      </c>
      <c r="J556" t="n">
        <v>5</v>
      </c>
      <c r="K556" t="inlineStr">
        <is>
          <t>Activo</t>
        </is>
      </c>
      <c r="L556" t="inlineStr">
        <is>
          <t>Cargue inicial oficial desde INVENTARIO.xlsx</t>
        </is>
      </c>
      <c r="M556" s="59" t="n">
        <v>46264</v>
      </c>
    </row>
    <row r="557">
      <c r="A557" t="n">
        <v>35494</v>
      </c>
      <c r="B557" t="inlineStr">
        <is>
          <t>TERMINAL OJO 4/0 AWG HUECO 1/2"</t>
        </is>
      </c>
      <c r="C557" t="inlineStr">
        <is>
          <t>Elementos electricos</t>
        </is>
      </c>
      <c r="D557" t="inlineStr">
        <is>
          <t>General</t>
        </is>
      </c>
      <c r="E557" t="inlineStr">
        <is>
          <t>Unidad</t>
        </is>
      </c>
      <c r="F557" t="inlineStr">
        <is>
          <t>Generico</t>
        </is>
      </c>
      <c r="G557" t="inlineStr">
        <is>
          <t>-</t>
        </is>
      </c>
      <c r="H557" t="inlineStr">
        <is>
          <t>-</t>
        </is>
      </c>
      <c r="I557" t="inlineStr">
        <is>
          <t>NO APLICA</t>
        </is>
      </c>
      <c r="J557" t="n">
        <v>5</v>
      </c>
      <c r="K557" t="inlineStr">
        <is>
          <t>Activo</t>
        </is>
      </c>
      <c r="L557" t="inlineStr">
        <is>
          <t>Cargue inicial oficial desde INVENTARIO.xlsx</t>
        </is>
      </c>
      <c r="M557" s="59" t="n">
        <v>46264</v>
      </c>
    </row>
    <row r="558">
      <c r="A558" t="n">
        <v>35495</v>
      </c>
      <c r="B558" t="inlineStr">
        <is>
          <t>TERMINAL OJO 8 AWG HUECO 3/16"</t>
        </is>
      </c>
      <c r="C558" t="inlineStr">
        <is>
          <t>Elementos electricos</t>
        </is>
      </c>
      <c r="D558" t="inlineStr">
        <is>
          <t>General</t>
        </is>
      </c>
      <c r="E558" t="inlineStr">
        <is>
          <t>Unidad</t>
        </is>
      </c>
      <c r="F558" t="inlineStr">
        <is>
          <t>Generico</t>
        </is>
      </c>
      <c r="G558" t="inlineStr">
        <is>
          <t>-</t>
        </is>
      </c>
      <c r="H558" t="inlineStr">
        <is>
          <t>-</t>
        </is>
      </c>
      <c r="I558" t="inlineStr">
        <is>
          <t>NO APLICA</t>
        </is>
      </c>
      <c r="J558" t="n">
        <v>5</v>
      </c>
      <c r="K558" t="inlineStr">
        <is>
          <t>Activo</t>
        </is>
      </c>
      <c r="L558" t="inlineStr">
        <is>
          <t>Cargue inicial oficial desde INVENTARIO.xlsx</t>
        </is>
      </c>
      <c r="M558" s="59" t="n">
        <v>46264</v>
      </c>
    </row>
    <row r="559">
      <c r="A559" t="n">
        <v>35498</v>
      </c>
      <c r="B559" t="inlineStr">
        <is>
          <t>TERMINAL BIMETALICA OJO 1/0 AWG HUECO 5/16" CILES</t>
        </is>
      </c>
      <c r="C559" t="inlineStr">
        <is>
          <t>Elementos electricos</t>
        </is>
      </c>
      <c r="D559" t="inlineStr">
        <is>
          <t>General</t>
        </is>
      </c>
      <c r="E559" t="inlineStr">
        <is>
          <t>Unidad</t>
        </is>
      </c>
      <c r="F559" t="inlineStr">
        <is>
          <t>Generico</t>
        </is>
      </c>
      <c r="G559" t="inlineStr">
        <is>
          <t>-</t>
        </is>
      </c>
      <c r="H559" t="inlineStr">
        <is>
          <t>-</t>
        </is>
      </c>
      <c r="I559" t="inlineStr">
        <is>
          <t>NO APLICA</t>
        </is>
      </c>
      <c r="J559" t="n">
        <v>5</v>
      </c>
      <c r="K559" t="inlineStr">
        <is>
          <t>Activo</t>
        </is>
      </c>
      <c r="L559" t="inlineStr">
        <is>
          <t>Cargue inicial oficial desde INVENTARIO.xlsx</t>
        </is>
      </c>
      <c r="M559" s="59" t="n">
        <v>46264</v>
      </c>
    </row>
    <row r="560">
      <c r="A560" t="n">
        <v>35505</v>
      </c>
      <c r="B560" t="inlineStr">
        <is>
          <t>WASA INOXIDABLE 5/8"</t>
        </is>
      </c>
      <c r="C560" t="inlineStr">
        <is>
          <t>Materiales</t>
        </is>
      </c>
      <c r="D560" t="inlineStr">
        <is>
          <t>General</t>
        </is>
      </c>
      <c r="E560" t="inlineStr">
        <is>
          <t>Unidad</t>
        </is>
      </c>
      <c r="F560" t="inlineStr">
        <is>
          <t>Generico</t>
        </is>
      </c>
      <c r="G560" t="inlineStr">
        <is>
          <t>-</t>
        </is>
      </c>
      <c r="H560" t="inlineStr">
        <is>
          <t>-</t>
        </is>
      </c>
      <c r="I560" t="inlineStr">
        <is>
          <t>NO APLICA</t>
        </is>
      </c>
      <c r="J560" t="n">
        <v>5</v>
      </c>
      <c r="K560" t="inlineStr">
        <is>
          <t>Activo</t>
        </is>
      </c>
      <c r="L560" t="inlineStr">
        <is>
          <t>Cargue inicial oficial desde INVENTARIO.xlsx</t>
        </is>
      </c>
      <c r="M560" s="59" t="n">
        <v>46264</v>
      </c>
    </row>
    <row r="561">
      <c r="A561" t="n">
        <v>35506</v>
      </c>
      <c r="B561" t="inlineStr">
        <is>
          <t>CHAZO MARIPOSA PLASTICO BEIGE 5/16"</t>
        </is>
      </c>
      <c r="C561" t="inlineStr">
        <is>
          <t>Tornilleria</t>
        </is>
      </c>
      <c r="D561" t="inlineStr">
        <is>
          <t>General</t>
        </is>
      </c>
      <c r="E561" t="inlineStr">
        <is>
          <t>Unidad</t>
        </is>
      </c>
      <c r="F561" t="inlineStr">
        <is>
          <t>Generico</t>
        </is>
      </c>
      <c r="G561" t="inlineStr">
        <is>
          <t>-</t>
        </is>
      </c>
      <c r="H561" t="inlineStr">
        <is>
          <t>-</t>
        </is>
      </c>
      <c r="I561" t="inlineStr">
        <is>
          <t>NO APLICA</t>
        </is>
      </c>
      <c r="J561" t="n">
        <v>5</v>
      </c>
      <c r="K561" t="inlineStr">
        <is>
          <t>Activo</t>
        </is>
      </c>
      <c r="L561" t="inlineStr">
        <is>
          <t>Cargue inicial oficial desde INVENTARIO.xlsx</t>
        </is>
      </c>
      <c r="M561" s="59" t="n">
        <v>46264</v>
      </c>
    </row>
    <row r="562">
      <c r="A562" t="n">
        <v>35509</v>
      </c>
      <c r="B562" t="inlineStr">
        <is>
          <t>BROCA ESCALONADA 1/8"</t>
        </is>
      </c>
      <c r="C562" t="inlineStr">
        <is>
          <t>Materiales</t>
        </is>
      </c>
      <c r="D562" t="inlineStr">
        <is>
          <t>General</t>
        </is>
      </c>
      <c r="E562" t="inlineStr">
        <is>
          <t>Unidad</t>
        </is>
      </c>
      <c r="F562" t="inlineStr">
        <is>
          <t>Generico</t>
        </is>
      </c>
      <c r="G562" t="inlineStr">
        <is>
          <t>-</t>
        </is>
      </c>
      <c r="H562" t="inlineStr">
        <is>
          <t>-</t>
        </is>
      </c>
      <c r="I562" t="inlineStr">
        <is>
          <t>NO APLICA</t>
        </is>
      </c>
      <c r="J562" t="n">
        <v>5</v>
      </c>
      <c r="K562" t="inlineStr">
        <is>
          <t>Activo</t>
        </is>
      </c>
      <c r="L562" t="inlineStr">
        <is>
          <t>Cargue inicial oficial desde INVENTARIO.xlsx</t>
        </is>
      </c>
      <c r="M562" s="59" t="n">
        <v>46264</v>
      </c>
    </row>
    <row r="563">
      <c r="A563" t="n">
        <v>35518</v>
      </c>
      <c r="B563" t="inlineStr">
        <is>
          <t>TORNILLO M8X45</t>
        </is>
      </c>
      <c r="C563" t="inlineStr">
        <is>
          <t>Tornilleria</t>
        </is>
      </c>
      <c r="D563" t="inlineStr">
        <is>
          <t>General</t>
        </is>
      </c>
      <c r="E563" t="inlineStr">
        <is>
          <t>Unidad</t>
        </is>
      </c>
      <c r="F563" t="inlineStr">
        <is>
          <t>Generico</t>
        </is>
      </c>
      <c r="G563" t="inlineStr">
        <is>
          <t>-</t>
        </is>
      </c>
      <c r="H563" t="inlineStr">
        <is>
          <t>-</t>
        </is>
      </c>
      <c r="I563" t="inlineStr">
        <is>
          <t>NO APLICA</t>
        </is>
      </c>
      <c r="J563" t="n">
        <v>5</v>
      </c>
      <c r="K563" t="inlineStr">
        <is>
          <t>Activo</t>
        </is>
      </c>
      <c r="L563" t="inlineStr">
        <is>
          <t>Cargue inicial oficial desde INVENTARIO.xlsx</t>
        </is>
      </c>
      <c r="M563" s="59" t="n">
        <v>46264</v>
      </c>
    </row>
    <row r="564">
      <c r="A564" t="n">
        <v>35584</v>
      </c>
      <c r="B564" t="inlineStr">
        <is>
          <t>BROCA SDS PLUS PARA CONCRETO 1/4"</t>
        </is>
      </c>
      <c r="C564" t="inlineStr">
        <is>
          <t>Materiales</t>
        </is>
      </c>
      <c r="D564" t="inlineStr">
        <is>
          <t>General</t>
        </is>
      </c>
      <c r="E564" t="inlineStr">
        <is>
          <t>Unidad</t>
        </is>
      </c>
      <c r="F564" t="inlineStr">
        <is>
          <t>Generico</t>
        </is>
      </c>
      <c r="G564" t="inlineStr">
        <is>
          <t>-</t>
        </is>
      </c>
      <c r="H564" t="inlineStr">
        <is>
          <t>-</t>
        </is>
      </c>
      <c r="I564" t="inlineStr">
        <is>
          <t>NO APLICA</t>
        </is>
      </c>
      <c r="J564" t="n">
        <v>5</v>
      </c>
      <c r="K564" t="inlineStr">
        <is>
          <t>Activo</t>
        </is>
      </c>
      <c r="L564" t="inlineStr">
        <is>
          <t>Cargue inicial oficial desde INVENTARIO.xlsx</t>
        </is>
      </c>
      <c r="M564" s="59" t="n">
        <v>46264</v>
      </c>
    </row>
    <row r="565">
      <c r="A565" t="n">
        <v>35589</v>
      </c>
      <c r="B565" t="inlineStr">
        <is>
          <t>ADAPTADOR IMPACTO CUADRANTE DE 5/16</t>
        </is>
      </c>
      <c r="C565" t="inlineStr">
        <is>
          <t>Materiales</t>
        </is>
      </c>
      <c r="D565" t="inlineStr">
        <is>
          <t>General</t>
        </is>
      </c>
      <c r="E565" t="inlineStr">
        <is>
          <t>Unidad</t>
        </is>
      </c>
      <c r="F565" t="inlineStr">
        <is>
          <t>Generico</t>
        </is>
      </c>
      <c r="G565" t="inlineStr">
        <is>
          <t>-</t>
        </is>
      </c>
      <c r="H565" t="inlineStr">
        <is>
          <t>-</t>
        </is>
      </c>
      <c r="I565" t="inlineStr">
        <is>
          <t>NO APLICA</t>
        </is>
      </c>
      <c r="J565" t="n">
        <v>5</v>
      </c>
      <c r="K565" t="inlineStr">
        <is>
          <t>Activo</t>
        </is>
      </c>
      <c r="L565" t="inlineStr">
        <is>
          <t>Cargue inicial oficial desde INVENTARIO.xlsx</t>
        </is>
      </c>
      <c r="M565" s="59" t="n">
        <v>46264</v>
      </c>
    </row>
    <row r="566">
      <c r="A566" t="n">
        <v>35782</v>
      </c>
      <c r="B566" t="inlineStr">
        <is>
          <t>BANDEJA PORTACABLES ESCALERA TIPO B 50X8</t>
        </is>
      </c>
      <c r="C566" t="inlineStr">
        <is>
          <t>Cableado</t>
        </is>
      </c>
      <c r="D566" t="inlineStr">
        <is>
          <t>General</t>
        </is>
      </c>
      <c r="E566" t="inlineStr">
        <is>
          <t>Metro</t>
        </is>
      </c>
      <c r="F566" t="inlineStr">
        <is>
          <t>Generico</t>
        </is>
      </c>
      <c r="G566" t="inlineStr">
        <is>
          <t>-</t>
        </is>
      </c>
      <c r="H566" t="inlineStr">
        <is>
          <t>-</t>
        </is>
      </c>
      <c r="I566" t="inlineStr">
        <is>
          <t>NO APLICA</t>
        </is>
      </c>
      <c r="J566" t="n">
        <v>5</v>
      </c>
      <c r="K566" t="inlineStr">
        <is>
          <t>Activo</t>
        </is>
      </c>
      <c r="L566" t="inlineStr">
        <is>
          <t>Cargue inicial oficial desde INVENTARIO.xlsx</t>
        </is>
      </c>
      <c r="M566" s="59" t="n">
        <v>46264</v>
      </c>
    </row>
    <row r="567">
      <c r="A567" t="n">
        <v>35783</v>
      </c>
      <c r="B567" t="inlineStr">
        <is>
          <t>TAPA SUPERIOR BANDEJA ESCALERA 50 POLIESTER</t>
        </is>
      </c>
      <c r="C567" t="inlineStr">
        <is>
          <t>Materiales</t>
        </is>
      </c>
      <c r="D567" t="inlineStr">
        <is>
          <t>General</t>
        </is>
      </c>
      <c r="E567" t="inlineStr">
        <is>
          <t>Unidad</t>
        </is>
      </c>
      <c r="F567" t="inlineStr">
        <is>
          <t>Generico</t>
        </is>
      </c>
      <c r="G567" t="inlineStr">
        <is>
          <t>-</t>
        </is>
      </c>
      <c r="H567" t="inlineStr">
        <is>
          <t>-</t>
        </is>
      </c>
      <c r="I567" t="inlineStr">
        <is>
          <t>NO APLICA</t>
        </is>
      </c>
      <c r="J567" t="n">
        <v>5</v>
      </c>
      <c r="K567" t="inlineStr">
        <is>
          <t>Activo</t>
        </is>
      </c>
      <c r="L567" t="inlineStr">
        <is>
          <t>Cargue inicial oficial desde INVENTARIO.xlsx</t>
        </is>
      </c>
      <c r="M567" s="59" t="n">
        <v>46264</v>
      </c>
    </row>
    <row r="568">
      <c r="A568" t="n">
        <v>36037</v>
      </c>
      <c r="B568" t="inlineStr">
        <is>
          <t>CHAZO EXPANSIVO METALICO 3/8" X 2"</t>
        </is>
      </c>
      <c r="C568" t="inlineStr">
        <is>
          <t>Tornilleria</t>
        </is>
      </c>
      <c r="D568" t="inlineStr">
        <is>
          <t>General</t>
        </is>
      </c>
      <c r="E568" t="inlineStr">
        <is>
          <t>Unidad</t>
        </is>
      </c>
      <c r="F568" t="inlineStr">
        <is>
          <t>Generico</t>
        </is>
      </c>
      <c r="G568" t="inlineStr">
        <is>
          <t>-</t>
        </is>
      </c>
      <c r="H568" t="inlineStr">
        <is>
          <t>-</t>
        </is>
      </c>
      <c r="I568" t="inlineStr">
        <is>
          <t>NO APLICA</t>
        </is>
      </c>
      <c r="J568" t="n">
        <v>5</v>
      </c>
      <c r="K568" t="inlineStr">
        <is>
          <t>Activo</t>
        </is>
      </c>
      <c r="L568" t="inlineStr">
        <is>
          <t>Cargue inicial oficial desde INVENTARIO.xlsx</t>
        </is>
      </c>
      <c r="M568" s="59" t="n">
        <v>46264</v>
      </c>
    </row>
    <row r="569">
      <c r="A569" t="n">
        <v>36039</v>
      </c>
      <c r="B569" t="inlineStr">
        <is>
          <t>WASA TROPICALIZADA 1/2"</t>
        </is>
      </c>
      <c r="C569" t="inlineStr">
        <is>
          <t>Materiales</t>
        </is>
      </c>
      <c r="D569" t="inlineStr">
        <is>
          <t>General</t>
        </is>
      </c>
      <c r="E569" t="inlineStr">
        <is>
          <t>Unidad</t>
        </is>
      </c>
      <c r="F569" t="inlineStr">
        <is>
          <t>Generico</t>
        </is>
      </c>
      <c r="G569" t="inlineStr">
        <is>
          <t>-</t>
        </is>
      </c>
      <c r="H569" t="inlineStr">
        <is>
          <t>-</t>
        </is>
      </c>
      <c r="I569" t="inlineStr">
        <is>
          <t>NO APLICA</t>
        </is>
      </c>
      <c r="J569" t="n">
        <v>5</v>
      </c>
      <c r="K569" t="inlineStr">
        <is>
          <t>Activo</t>
        </is>
      </c>
      <c r="L569" t="inlineStr">
        <is>
          <t>Cargue inicial oficial desde INVENTARIO.xlsx</t>
        </is>
      </c>
      <c r="M569" s="59" t="n">
        <v>46264</v>
      </c>
    </row>
    <row r="570">
      <c r="A570" t="n">
        <v>36043</v>
      </c>
      <c r="B570" t="inlineStr">
        <is>
          <t>TORNILLO HEXAGONAL INOXIDABLE  3/8" X 1"</t>
        </is>
      </c>
      <c r="C570" t="inlineStr">
        <is>
          <t>Tornilleria</t>
        </is>
      </c>
      <c r="D570" t="inlineStr">
        <is>
          <t>General</t>
        </is>
      </c>
      <c r="E570" t="inlineStr">
        <is>
          <t>Unidad</t>
        </is>
      </c>
      <c r="F570" t="inlineStr">
        <is>
          <t>Generico</t>
        </is>
      </c>
      <c r="G570" t="inlineStr">
        <is>
          <t>-</t>
        </is>
      </c>
      <c r="H570" t="inlineStr">
        <is>
          <t>-</t>
        </is>
      </c>
      <c r="I570" t="inlineStr">
        <is>
          <t>NO APLICA</t>
        </is>
      </c>
      <c r="J570" t="n">
        <v>5</v>
      </c>
      <c r="K570" t="inlineStr">
        <is>
          <t>Activo</t>
        </is>
      </c>
      <c r="L570" t="inlineStr">
        <is>
          <t>Cargue inicial oficial desde INVENTARIO.xlsx</t>
        </is>
      </c>
      <c r="M570" s="59" t="n">
        <v>46264</v>
      </c>
    </row>
    <row r="571">
      <c r="A571" t="n">
        <v>36268</v>
      </c>
      <c r="B571" t="inlineStr">
        <is>
          <t>COPA SIERRA MURO 2"</t>
        </is>
      </c>
      <c r="C571" t="inlineStr">
        <is>
          <t>Materiales</t>
        </is>
      </c>
      <c r="D571" t="inlineStr">
        <is>
          <t>General</t>
        </is>
      </c>
      <c r="E571" t="inlineStr">
        <is>
          <t>Unidad</t>
        </is>
      </c>
      <c r="F571" t="inlineStr">
        <is>
          <t>Generico</t>
        </is>
      </c>
      <c r="G571" t="inlineStr">
        <is>
          <t>-</t>
        </is>
      </c>
      <c r="H571" t="inlineStr">
        <is>
          <t>-</t>
        </is>
      </c>
      <c r="I571" t="inlineStr">
        <is>
          <t>NO APLICA</t>
        </is>
      </c>
      <c r="J571" t="n">
        <v>5</v>
      </c>
      <c r="K571" t="inlineStr">
        <is>
          <t>Activo</t>
        </is>
      </c>
      <c r="L571" t="inlineStr">
        <is>
          <t>Cargue inicial oficial desde INVENTARIO.xlsx</t>
        </is>
      </c>
      <c r="M571" s="59" t="n">
        <v>46264</v>
      </c>
    </row>
    <row r="572">
      <c r="A572" t="n">
        <v>36471</v>
      </c>
      <c r="B572" t="inlineStr">
        <is>
          <t>TAPA CAJA RAWELT 2X4 PARA TOMACORRIENTE DOBLE LEVITON</t>
        </is>
      </c>
      <c r="C572" t="inlineStr">
        <is>
          <t>Elementos electricos</t>
        </is>
      </c>
      <c r="D572" t="inlineStr">
        <is>
          <t>General</t>
        </is>
      </c>
      <c r="E572" t="inlineStr">
        <is>
          <t>Caja</t>
        </is>
      </c>
      <c r="F572" t="inlineStr">
        <is>
          <t>Generico</t>
        </is>
      </c>
      <c r="G572" t="inlineStr">
        <is>
          <t>-</t>
        </is>
      </c>
      <c r="H572" t="inlineStr">
        <is>
          <t>-</t>
        </is>
      </c>
      <c r="I572" t="inlineStr">
        <is>
          <t>NO APLICA</t>
        </is>
      </c>
      <c r="J572" t="n">
        <v>5</v>
      </c>
      <c r="K572" t="inlineStr">
        <is>
          <t>Activo</t>
        </is>
      </c>
      <c r="L572" t="inlineStr">
        <is>
          <t>Cargue inicial oficial desde INVENTARIO.xlsx</t>
        </is>
      </c>
      <c r="M572" s="59" t="n">
        <v>46264</v>
      </c>
    </row>
    <row r="573">
      <c r="A573" t="n">
        <v>36931</v>
      </c>
      <c r="B573" t="inlineStr">
        <is>
          <t>TOMACORRIENTE 125V 15A CAJA 2X4 INTEMPERIE RAWELT</t>
        </is>
      </c>
      <c r="C573" t="inlineStr">
        <is>
          <t>Elementos electricos</t>
        </is>
      </c>
      <c r="D573" t="inlineStr">
        <is>
          <t>General</t>
        </is>
      </c>
      <c r="E573" t="inlineStr">
        <is>
          <t>Caja</t>
        </is>
      </c>
      <c r="F573" t="inlineStr">
        <is>
          <t>Generico</t>
        </is>
      </c>
      <c r="G573" t="inlineStr">
        <is>
          <t>-</t>
        </is>
      </c>
      <c r="H573" t="inlineStr">
        <is>
          <t>-</t>
        </is>
      </c>
      <c r="I573" t="inlineStr">
        <is>
          <t>NO APLICA</t>
        </is>
      </c>
      <c r="J573" t="n">
        <v>5</v>
      </c>
      <c r="K573" t="inlineStr">
        <is>
          <t>Activo</t>
        </is>
      </c>
      <c r="L573" t="inlineStr">
        <is>
          <t>Cargue inicial oficial desde INVENTARIO.xlsx</t>
        </is>
      </c>
      <c r="M573" s="59" t="n">
        <v>46264</v>
      </c>
    </row>
    <row r="574">
      <c r="A574" t="n">
        <v>39250</v>
      </c>
      <c r="B574" t="inlineStr">
        <is>
          <t>TERMINAL BIMETALICA OJO 2/0 AWG HUECO 5/16" CILES</t>
        </is>
      </c>
      <c r="C574" t="inlineStr">
        <is>
          <t>Elementos electricos</t>
        </is>
      </c>
      <c r="D574" t="inlineStr">
        <is>
          <t>General</t>
        </is>
      </c>
      <c r="E574" t="inlineStr">
        <is>
          <t>Unidad</t>
        </is>
      </c>
      <c r="F574" t="inlineStr">
        <is>
          <t>Generico</t>
        </is>
      </c>
      <c r="G574" t="inlineStr">
        <is>
          <t>-</t>
        </is>
      </c>
      <c r="H574" t="inlineStr">
        <is>
          <t>-</t>
        </is>
      </c>
      <c r="I574" t="inlineStr">
        <is>
          <t>NO APLICA</t>
        </is>
      </c>
      <c r="J574" t="n">
        <v>5</v>
      </c>
      <c r="K574" t="inlineStr">
        <is>
          <t>Activo</t>
        </is>
      </c>
      <c r="L574" t="inlineStr">
        <is>
          <t>Cargue inicial oficial desde INVENTARIO.xlsx</t>
        </is>
      </c>
      <c r="M574" s="59" t="n">
        <v>46264</v>
      </c>
    </row>
    <row r="575">
      <c r="A575" t="n">
        <v>39253</v>
      </c>
      <c r="B575" t="inlineStr">
        <is>
          <t>TERMINAL BIMETALICA OJO 250 KCMIL AWG HUECO 5/16" CILES</t>
        </is>
      </c>
      <c r="C575" t="inlineStr">
        <is>
          <t>Elementos electricos</t>
        </is>
      </c>
      <c r="D575" t="inlineStr">
        <is>
          <t>General</t>
        </is>
      </c>
      <c r="E575" t="inlineStr">
        <is>
          <t>Unidad</t>
        </is>
      </c>
      <c r="F575" t="inlineStr">
        <is>
          <t>Generico</t>
        </is>
      </c>
      <c r="G575" t="inlineStr">
        <is>
          <t>-</t>
        </is>
      </c>
      <c r="H575" t="inlineStr">
        <is>
          <t>-</t>
        </is>
      </c>
      <c r="I575" t="inlineStr">
        <is>
          <t>NO APLICA</t>
        </is>
      </c>
      <c r="J575" t="n">
        <v>5</v>
      </c>
      <c r="K575" t="inlineStr">
        <is>
          <t>Activo</t>
        </is>
      </c>
      <c r="L575" t="inlineStr">
        <is>
          <t>Cargue inicial oficial desde INVENTARIO.xlsx</t>
        </is>
      </c>
      <c r="M575" s="59" t="n">
        <v>46264</v>
      </c>
    </row>
    <row r="576">
      <c r="A576" t="n">
        <v>39254</v>
      </c>
      <c r="B576" t="inlineStr">
        <is>
          <t>TERMINAL BIMETALICA OJO 500 KCMIL AWG HUECO 3/8" CILES</t>
        </is>
      </c>
      <c r="C576" t="inlineStr">
        <is>
          <t>Elementos electricos</t>
        </is>
      </c>
      <c r="D576" t="inlineStr">
        <is>
          <t>General</t>
        </is>
      </c>
      <c r="E576" t="inlineStr">
        <is>
          <t>Unidad</t>
        </is>
      </c>
      <c r="F576" t="inlineStr">
        <is>
          <t>Generico</t>
        </is>
      </c>
      <c r="G576" t="inlineStr">
        <is>
          <t>-</t>
        </is>
      </c>
      <c r="H576" t="inlineStr">
        <is>
          <t>-</t>
        </is>
      </c>
      <c r="I576" t="inlineStr">
        <is>
          <t>NO APLICA</t>
        </is>
      </c>
      <c r="J576" t="n">
        <v>5</v>
      </c>
      <c r="K576" t="inlineStr">
        <is>
          <t>Activo</t>
        </is>
      </c>
      <c r="L576" t="inlineStr">
        <is>
          <t>Cargue inicial oficial desde INVENTARIO.xlsx</t>
        </is>
      </c>
      <c r="M576" s="59" t="n">
        <v>46264</v>
      </c>
    </row>
    <row r="577">
      <c r="A577" t="n">
        <v>39260</v>
      </c>
      <c r="B577" t="inlineStr">
        <is>
          <t>TUERCA ACERO INOXIDABLE M8</t>
        </is>
      </c>
      <c r="C577" t="inlineStr">
        <is>
          <t>Tornilleria</t>
        </is>
      </c>
      <c r="D577" t="inlineStr">
        <is>
          <t>General</t>
        </is>
      </c>
      <c r="E577" t="inlineStr">
        <is>
          <t>Unidad</t>
        </is>
      </c>
      <c r="F577" t="inlineStr">
        <is>
          <t>Generico</t>
        </is>
      </c>
      <c r="G577" t="inlineStr">
        <is>
          <t>-</t>
        </is>
      </c>
      <c r="H577" t="inlineStr">
        <is>
          <t>-</t>
        </is>
      </c>
      <c r="I577" t="inlineStr">
        <is>
          <t>NO APLICA</t>
        </is>
      </c>
      <c r="J577" t="n">
        <v>5</v>
      </c>
      <c r="K577" t="inlineStr">
        <is>
          <t>Activo</t>
        </is>
      </c>
      <c r="L577" t="inlineStr">
        <is>
          <t>Cargue inicial oficial desde INVENTARIO.xlsx</t>
        </is>
      </c>
      <c r="M577" s="59" t="n">
        <v>46264</v>
      </c>
    </row>
    <row r="578">
      <c r="A578" t="n">
        <v>39261</v>
      </c>
      <c r="B578" t="inlineStr">
        <is>
          <t>EXTENSION ANTENA ALTA GANANCIA 5M</t>
        </is>
      </c>
      <c r="C578" t="inlineStr">
        <is>
          <t>Materiales</t>
        </is>
      </c>
      <c r="D578" t="inlineStr">
        <is>
          <t>General</t>
        </is>
      </c>
      <c r="E578" t="inlineStr">
        <is>
          <t>Unidad</t>
        </is>
      </c>
      <c r="F578" t="inlineStr">
        <is>
          <t>Generico</t>
        </is>
      </c>
      <c r="G578" t="inlineStr">
        <is>
          <t>-</t>
        </is>
      </c>
      <c r="H578" t="inlineStr">
        <is>
          <t>-</t>
        </is>
      </c>
      <c r="I578" t="inlineStr">
        <is>
          <t>NO APLICA</t>
        </is>
      </c>
      <c r="J578" t="n">
        <v>5</v>
      </c>
      <c r="K578" t="inlineStr">
        <is>
          <t>Activo</t>
        </is>
      </c>
      <c r="L578" t="inlineStr">
        <is>
          <t>Cargue inicial oficial desde INVENTARIO.xlsx</t>
        </is>
      </c>
      <c r="M578" s="59" t="n">
        <v>46264</v>
      </c>
    </row>
    <row r="579">
      <c r="A579" t="n">
        <v>39391</v>
      </c>
      <c r="B579" t="inlineStr">
        <is>
          <t>PLATINA DE UNION BANDEJA GALVANIZADA EN CALIENTE 8CM</t>
        </is>
      </c>
      <c r="C579" t="inlineStr">
        <is>
          <t>Materiales</t>
        </is>
      </c>
      <c r="D579" t="inlineStr">
        <is>
          <t>General</t>
        </is>
      </c>
      <c r="E579" t="inlineStr">
        <is>
          <t>Unidad</t>
        </is>
      </c>
      <c r="F579" t="inlineStr">
        <is>
          <t>Generico</t>
        </is>
      </c>
      <c r="G579" t="inlineStr">
        <is>
          <t>-</t>
        </is>
      </c>
      <c r="H579" t="inlineStr">
        <is>
          <t>-</t>
        </is>
      </c>
      <c r="I579" t="inlineStr">
        <is>
          <t>NO APLICA</t>
        </is>
      </c>
      <c r="J579" t="n">
        <v>5</v>
      </c>
      <c r="K579" t="inlineStr">
        <is>
          <t>Activo</t>
        </is>
      </c>
      <c r="L579" t="inlineStr">
        <is>
          <t>Cargue inicial oficial desde INVENTARIO.xlsx</t>
        </is>
      </c>
      <c r="M579" s="59" t="n">
        <v>46264</v>
      </c>
    </row>
    <row r="580">
      <c r="A580" t="n">
        <v>39410</v>
      </c>
      <c r="B580" t="inlineStr">
        <is>
          <t>TAPA FINAL BANDEJA ESCALERA 10X8 CM GALVANIZADA EN CALIENTE</t>
        </is>
      </c>
      <c r="C580" t="inlineStr">
        <is>
          <t>Materiales</t>
        </is>
      </c>
      <c r="D580" t="inlineStr">
        <is>
          <t>General</t>
        </is>
      </c>
      <c r="E580" t="inlineStr">
        <is>
          <t>Unidad</t>
        </is>
      </c>
      <c r="F580" t="inlineStr">
        <is>
          <t>Generico</t>
        </is>
      </c>
      <c r="G580" t="inlineStr">
        <is>
          <t>-</t>
        </is>
      </c>
      <c r="H580" t="inlineStr">
        <is>
          <t>-</t>
        </is>
      </c>
      <c r="I580" t="inlineStr">
        <is>
          <t>NO APLICA</t>
        </is>
      </c>
      <c r="J580" t="n">
        <v>5</v>
      </c>
      <c r="K580" t="inlineStr">
        <is>
          <t>Activo</t>
        </is>
      </c>
      <c r="L580" t="inlineStr">
        <is>
          <t>Cargue inicial oficial desde INVENTARIO.xlsx</t>
        </is>
      </c>
      <c r="M580" s="59" t="n">
        <v>46264</v>
      </c>
    </row>
    <row r="581">
      <c r="A581" t="n">
        <v>39413</v>
      </c>
      <c r="B581" t="inlineStr">
        <is>
          <t>TAPA FINAL BANDEJA ESCALERA 20X8 CM GALVANIZADA EN CALIENTE</t>
        </is>
      </c>
      <c r="C581" t="inlineStr">
        <is>
          <t>Materiales</t>
        </is>
      </c>
      <c r="D581" t="inlineStr">
        <is>
          <t>General</t>
        </is>
      </c>
      <c r="E581" t="inlineStr">
        <is>
          <t>Unidad</t>
        </is>
      </c>
      <c r="F581" t="inlineStr">
        <is>
          <t>Generico</t>
        </is>
      </c>
      <c r="G581" t="inlineStr">
        <is>
          <t>-</t>
        </is>
      </c>
      <c r="H581" t="inlineStr">
        <is>
          <t>-</t>
        </is>
      </c>
      <c r="I581" t="inlineStr">
        <is>
          <t>NO APLICA</t>
        </is>
      </c>
      <c r="J581" t="n">
        <v>5</v>
      </c>
      <c r="K581" t="inlineStr">
        <is>
          <t>Activo</t>
        </is>
      </c>
      <c r="L581" t="inlineStr">
        <is>
          <t>Cargue inicial oficial desde INVENTARIO.xlsx</t>
        </is>
      </c>
      <c r="M581" s="59" t="n">
        <v>46264</v>
      </c>
    </row>
    <row r="582">
      <c r="A582" t="n">
        <v>39422</v>
      </c>
      <c r="B582" t="inlineStr">
        <is>
          <t>TAPA FINAL BANDEJA ESCALERA 50X8 CM GALVANIZADA EN CALIENTE</t>
        </is>
      </c>
      <c r="C582" t="inlineStr">
        <is>
          <t>Materiales</t>
        </is>
      </c>
      <c r="D582" t="inlineStr">
        <is>
          <t>General</t>
        </is>
      </c>
      <c r="E582" t="inlineStr">
        <is>
          <t>Unidad</t>
        </is>
      </c>
      <c r="F582" t="inlineStr">
        <is>
          <t>Generico</t>
        </is>
      </c>
      <c r="G582" t="inlineStr">
        <is>
          <t>-</t>
        </is>
      </c>
      <c r="H582" t="inlineStr">
        <is>
          <t>-</t>
        </is>
      </c>
      <c r="I582" t="inlineStr">
        <is>
          <t>NO APLICA</t>
        </is>
      </c>
      <c r="J582" t="n">
        <v>5</v>
      </c>
      <c r="K582" t="inlineStr">
        <is>
          <t>Activo</t>
        </is>
      </c>
      <c r="L582" t="inlineStr">
        <is>
          <t>Cargue inicial oficial desde INVENTARIO.xlsx</t>
        </is>
      </c>
      <c r="M582" s="59" t="n">
        <v>46264</v>
      </c>
    </row>
    <row r="583">
      <c r="A583" t="n">
        <v>39712</v>
      </c>
      <c r="B583" t="inlineStr">
        <is>
          <t>BANDEJA PORTACABLES ESCALERA TIPO A 30X8 GALVANIZADA EN CALIENTE</t>
        </is>
      </c>
      <c r="C583" t="inlineStr">
        <is>
          <t>Cableado</t>
        </is>
      </c>
      <c r="D583" t="inlineStr">
        <is>
          <t>General</t>
        </is>
      </c>
      <c r="E583" t="inlineStr">
        <is>
          <t>Metro</t>
        </is>
      </c>
      <c r="F583" t="inlineStr">
        <is>
          <t>Generico</t>
        </is>
      </c>
      <c r="G583" t="inlineStr">
        <is>
          <t>-</t>
        </is>
      </c>
      <c r="H583" t="inlineStr">
        <is>
          <t>-</t>
        </is>
      </c>
      <c r="I583" t="inlineStr">
        <is>
          <t>NO APLICA</t>
        </is>
      </c>
      <c r="J583" t="n">
        <v>5</v>
      </c>
      <c r="K583" t="inlineStr">
        <is>
          <t>Activo</t>
        </is>
      </c>
      <c r="L583" t="inlineStr">
        <is>
          <t>Cargue inicial oficial desde INVENTARIO.xlsx</t>
        </is>
      </c>
      <c r="M583" s="59" t="n">
        <v>46264</v>
      </c>
    </row>
    <row r="584">
      <c r="A584" t="n">
        <v>39713</v>
      </c>
      <c r="B584" t="inlineStr">
        <is>
          <t>BANDEJA PORTACABLES ESCALERA TIPO A 50X8 GALVANIZADA EN CALIENTE</t>
        </is>
      </c>
      <c r="C584" t="inlineStr">
        <is>
          <t>Cableado</t>
        </is>
      </c>
      <c r="D584" t="inlineStr">
        <is>
          <t>General</t>
        </is>
      </c>
      <c r="E584" t="inlineStr">
        <is>
          <t>Metro</t>
        </is>
      </c>
      <c r="F584" t="inlineStr">
        <is>
          <t>Generico</t>
        </is>
      </c>
      <c r="G584" t="inlineStr">
        <is>
          <t>-</t>
        </is>
      </c>
      <c r="H584" t="inlineStr">
        <is>
          <t>-</t>
        </is>
      </c>
      <c r="I584" t="inlineStr">
        <is>
          <t>NO APLICA</t>
        </is>
      </c>
      <c r="J584" t="n">
        <v>5</v>
      </c>
      <c r="K584" t="inlineStr">
        <is>
          <t>Activo</t>
        </is>
      </c>
      <c r="L584" t="inlineStr">
        <is>
          <t>Cargue inicial oficial desde INVENTARIO.xlsx</t>
        </is>
      </c>
      <c r="M584" s="59" t="n">
        <v>46264</v>
      </c>
    </row>
    <row r="585">
      <c r="A585" t="n">
        <v>39753</v>
      </c>
      <c r="B585" t="inlineStr">
        <is>
          <t>TERMINAL BIMETALICA OJO 6 AWG HUECO 3/16" CILES</t>
        </is>
      </c>
      <c r="C585" t="inlineStr">
        <is>
          <t>Elementos electricos</t>
        </is>
      </c>
      <c r="D585" t="inlineStr">
        <is>
          <t>General</t>
        </is>
      </c>
      <c r="E585" t="inlineStr">
        <is>
          <t>Unidad</t>
        </is>
      </c>
      <c r="F585" t="inlineStr">
        <is>
          <t>Generico</t>
        </is>
      </c>
      <c r="G585" t="inlineStr">
        <is>
          <t>-</t>
        </is>
      </c>
      <c r="H585" t="inlineStr">
        <is>
          <t>-</t>
        </is>
      </c>
      <c r="I585" t="inlineStr">
        <is>
          <t>NO APLICA</t>
        </is>
      </c>
      <c r="J585" t="n">
        <v>5</v>
      </c>
      <c r="K585" t="inlineStr">
        <is>
          <t>Activo</t>
        </is>
      </c>
      <c r="L585" t="inlineStr">
        <is>
          <t>Cargue inicial oficial desde INVENTARIO.xlsx</t>
        </is>
      </c>
      <c r="M585" s="59" t="n">
        <v>46264</v>
      </c>
    </row>
    <row r="586">
      <c r="A586" t="n">
        <v>39795</v>
      </c>
      <c r="B586" t="inlineStr">
        <is>
          <t>JINKO 580WP</t>
        </is>
      </c>
      <c r="C586" t="inlineStr">
        <is>
          <t>Materiales</t>
        </is>
      </c>
      <c r="D586" t="inlineStr">
        <is>
          <t>General</t>
        </is>
      </c>
      <c r="E586" t="inlineStr">
        <is>
          <t>Unidad</t>
        </is>
      </c>
      <c r="F586" t="inlineStr">
        <is>
          <t>Generico</t>
        </is>
      </c>
      <c r="G586" t="inlineStr">
        <is>
          <t>-</t>
        </is>
      </c>
      <c r="H586" t="inlineStr">
        <is>
          <t>-</t>
        </is>
      </c>
      <c r="I586" t="inlineStr">
        <is>
          <t>NO APLICA</t>
        </is>
      </c>
      <c r="J586" t="n">
        <v>5</v>
      </c>
      <c r="K586" t="inlineStr">
        <is>
          <t>Activo</t>
        </is>
      </c>
      <c r="L586" t="inlineStr">
        <is>
          <t>Cargue inicial oficial desde INVENTARIO.xlsx</t>
        </is>
      </c>
      <c r="M586" s="59" t="n">
        <v>46264</v>
      </c>
    </row>
    <row r="587">
      <c r="A587" t="n">
        <v>39813</v>
      </c>
      <c r="B587" t="inlineStr">
        <is>
          <t>BANDEJA PORTACABLES ESCALERA TIPO A 40X8 GALVANIZADO EN CALIENTE</t>
        </is>
      </c>
      <c r="C587" t="inlineStr">
        <is>
          <t>Cableado</t>
        </is>
      </c>
      <c r="D587" t="inlineStr">
        <is>
          <t>General</t>
        </is>
      </c>
      <c r="E587" t="inlineStr">
        <is>
          <t>Metro</t>
        </is>
      </c>
      <c r="F587" t="inlineStr">
        <is>
          <t>Generico</t>
        </is>
      </c>
      <c r="G587" t="inlineStr">
        <is>
          <t>-</t>
        </is>
      </c>
      <c r="H587" t="inlineStr">
        <is>
          <t>-</t>
        </is>
      </c>
      <c r="I587" t="inlineStr">
        <is>
          <t>NO APLICA</t>
        </is>
      </c>
      <c r="J587" t="n">
        <v>5</v>
      </c>
      <c r="K587" t="inlineStr">
        <is>
          <t>Activo</t>
        </is>
      </c>
      <c r="L587" t="inlineStr">
        <is>
          <t>Cargue inicial oficial desde INVENTARIO.xlsx</t>
        </is>
      </c>
      <c r="M587" s="59" t="n">
        <v>46264</v>
      </c>
    </row>
    <row r="588">
      <c r="A588" t="n">
        <v>40031</v>
      </c>
      <c r="B588" t="inlineStr">
        <is>
          <t>TAPA PARA TOMA NEMA L5-30R DE INCRUSTAR LEVITON</t>
        </is>
      </c>
      <c r="C588" t="inlineStr">
        <is>
          <t>Elementos electricos</t>
        </is>
      </c>
      <c r="D588" t="inlineStr">
        <is>
          <t>General</t>
        </is>
      </c>
      <c r="E588" t="inlineStr">
        <is>
          <t>Unidad</t>
        </is>
      </c>
      <c r="F588" t="inlineStr">
        <is>
          <t>Generico</t>
        </is>
      </c>
      <c r="G588" t="inlineStr">
        <is>
          <t>-</t>
        </is>
      </c>
      <c r="H588" t="inlineStr">
        <is>
          <t>-</t>
        </is>
      </c>
      <c r="I588" t="inlineStr">
        <is>
          <t>NO APLICA</t>
        </is>
      </c>
      <c r="J588" t="n">
        <v>5</v>
      </c>
      <c r="K588" t="inlineStr">
        <is>
          <t>Activo</t>
        </is>
      </c>
      <c r="L588" t="inlineStr">
        <is>
          <t>Cargue inicial oficial desde INVENTARIO.xlsx</t>
        </is>
      </c>
      <c r="M588" s="59" t="n">
        <v>46264</v>
      </c>
    </row>
    <row r="589">
      <c r="A589" t="n">
        <v>40036</v>
      </c>
      <c r="B589" t="inlineStr">
        <is>
          <t>CAJA DE PASO PLASTICA 10X10X7</t>
        </is>
      </c>
      <c r="C589" t="inlineStr">
        <is>
          <t>Materiales</t>
        </is>
      </c>
      <c r="D589" t="inlineStr">
        <is>
          <t>General</t>
        </is>
      </c>
      <c r="E589" t="inlineStr">
        <is>
          <t>Caja</t>
        </is>
      </c>
      <c r="F589" t="inlineStr">
        <is>
          <t>Generico</t>
        </is>
      </c>
      <c r="G589" t="inlineStr">
        <is>
          <t>-</t>
        </is>
      </c>
      <c r="H589" t="inlineStr">
        <is>
          <t>-</t>
        </is>
      </c>
      <c r="I589" t="inlineStr">
        <is>
          <t>NO APLICA</t>
        </is>
      </c>
      <c r="J589" t="n">
        <v>5</v>
      </c>
      <c r="K589" t="inlineStr">
        <is>
          <t>Activo</t>
        </is>
      </c>
      <c r="L589" t="inlineStr">
        <is>
          <t>Cargue inicial oficial desde INVENTARIO.xlsx</t>
        </is>
      </c>
      <c r="M589" s="59" t="n">
        <v>46264</v>
      </c>
    </row>
    <row r="590">
      <c r="A590" t="n">
        <v>40090</v>
      </c>
      <c r="B590" t="inlineStr">
        <is>
          <t>TERMINAL COBRE OJO #8 HUECO 1/4"</t>
        </is>
      </c>
      <c r="C590" t="inlineStr">
        <is>
          <t>Elementos electricos</t>
        </is>
      </c>
      <c r="D590" t="inlineStr">
        <is>
          <t>General</t>
        </is>
      </c>
      <c r="E590" t="inlineStr">
        <is>
          <t>Unidad</t>
        </is>
      </c>
      <c r="F590" t="inlineStr">
        <is>
          <t>Generico</t>
        </is>
      </c>
      <c r="G590" t="inlineStr">
        <is>
          <t>-</t>
        </is>
      </c>
      <c r="H590" t="inlineStr">
        <is>
          <t>-</t>
        </is>
      </c>
      <c r="I590" t="inlineStr">
        <is>
          <t>NO APLICA</t>
        </is>
      </c>
      <c r="J590" t="n">
        <v>5</v>
      </c>
      <c r="K590" t="inlineStr">
        <is>
          <t>Activo</t>
        </is>
      </c>
      <c r="L590" t="inlineStr">
        <is>
          <t>Cargue inicial oficial desde INVENTARIO.xlsx</t>
        </is>
      </c>
      <c r="M590" s="59" t="n">
        <v>46264</v>
      </c>
    </row>
    <row r="591">
      <c r="A591" t="n">
        <v>40091</v>
      </c>
      <c r="B591" t="inlineStr">
        <is>
          <t>TERMINAL COBRE OJO #4 HUECO 1/4"</t>
        </is>
      </c>
      <c r="C591" t="inlineStr">
        <is>
          <t>Elementos electricos</t>
        </is>
      </c>
      <c r="D591" t="inlineStr">
        <is>
          <t>General</t>
        </is>
      </c>
      <c r="E591" t="inlineStr">
        <is>
          <t>Unidad</t>
        </is>
      </c>
      <c r="F591" t="inlineStr">
        <is>
          <t>Generico</t>
        </is>
      </c>
      <c r="G591" t="inlineStr">
        <is>
          <t>-</t>
        </is>
      </c>
      <c r="H591" t="inlineStr">
        <is>
          <t>-</t>
        </is>
      </c>
      <c r="I591" t="inlineStr">
        <is>
          <t>NO APLICA</t>
        </is>
      </c>
      <c r="J591" t="n">
        <v>5</v>
      </c>
      <c r="K591" t="inlineStr">
        <is>
          <t>Activo</t>
        </is>
      </c>
      <c r="L591" t="inlineStr">
        <is>
          <t>Cargue inicial oficial desde INVENTARIO.xlsx</t>
        </is>
      </c>
      <c r="M591" s="59" t="n">
        <v>46264</v>
      </c>
    </row>
    <row r="592">
      <c r="A592" t="n">
        <v>40095</v>
      </c>
      <c r="B592" t="inlineStr">
        <is>
          <t>TAPA TOMA DOBLE PARA TOMA LEVITON BLANCA</t>
        </is>
      </c>
      <c r="C592" t="inlineStr">
        <is>
          <t>Elementos electricos</t>
        </is>
      </c>
      <c r="D592" t="inlineStr">
        <is>
          <t>General</t>
        </is>
      </c>
      <c r="E592" t="inlineStr">
        <is>
          <t>Unidad</t>
        </is>
      </c>
      <c r="F592" t="inlineStr">
        <is>
          <t>Generico</t>
        </is>
      </c>
      <c r="G592" t="inlineStr">
        <is>
          <t>-</t>
        </is>
      </c>
      <c r="H592" t="inlineStr">
        <is>
          <t>-</t>
        </is>
      </c>
      <c r="I592" t="inlineStr">
        <is>
          <t>NO APLICA</t>
        </is>
      </c>
      <c r="J592" t="n">
        <v>5</v>
      </c>
      <c r="K592" t="inlineStr">
        <is>
          <t>Activo</t>
        </is>
      </c>
      <c r="L592" t="inlineStr">
        <is>
          <t>Cargue inicial oficial desde INVENTARIO.xlsx</t>
        </is>
      </c>
      <c r="M592" s="59" t="n">
        <v>46264</v>
      </c>
    </row>
    <row r="593">
      <c r="A593" t="n">
        <v>40135</v>
      </c>
      <c r="B593" t="inlineStr">
        <is>
          <t>MICROINVERSOR HOYMILES HMS-1000-2T</t>
        </is>
      </c>
      <c r="C593" t="inlineStr">
        <is>
          <t>Materiales</t>
        </is>
      </c>
      <c r="D593" t="inlineStr">
        <is>
          <t>General</t>
        </is>
      </c>
      <c r="E593" t="inlineStr">
        <is>
          <t>Unidad</t>
        </is>
      </c>
      <c r="F593" t="inlineStr">
        <is>
          <t>Generico</t>
        </is>
      </c>
      <c r="G593" t="inlineStr">
        <is>
          <t>-</t>
        </is>
      </c>
      <c r="H593" t="inlineStr">
        <is>
          <t>-</t>
        </is>
      </c>
      <c r="I593" t="inlineStr">
        <is>
          <t>NO APLICA</t>
        </is>
      </c>
      <c r="J593" t="n">
        <v>5</v>
      </c>
      <c r="K593" t="inlineStr">
        <is>
          <t>Activo</t>
        </is>
      </c>
      <c r="L593" t="inlineStr">
        <is>
          <t>Cargue inicial oficial desde INVENTARIO.xlsx</t>
        </is>
      </c>
      <c r="M593" s="59" t="n">
        <v>46264</v>
      </c>
    </row>
    <row r="594">
      <c r="A594" t="n">
        <v>40136</v>
      </c>
      <c r="B594" t="inlineStr">
        <is>
          <t>MICROINVERSOR HOYMILES HMS-2000-4T</t>
        </is>
      </c>
      <c r="C594" t="inlineStr">
        <is>
          <t>Materiales</t>
        </is>
      </c>
      <c r="D594" t="inlineStr">
        <is>
          <t>General</t>
        </is>
      </c>
      <c r="E594" t="inlineStr">
        <is>
          <t>Unidad</t>
        </is>
      </c>
      <c r="F594" t="inlineStr">
        <is>
          <t>Generico</t>
        </is>
      </c>
      <c r="G594" t="inlineStr">
        <is>
          <t>-</t>
        </is>
      </c>
      <c r="H594" t="inlineStr">
        <is>
          <t>-</t>
        </is>
      </c>
      <c r="I594" t="inlineStr">
        <is>
          <t>NO APLICA</t>
        </is>
      </c>
      <c r="J594" t="n">
        <v>5</v>
      </c>
      <c r="K594" t="inlineStr">
        <is>
          <t>Activo</t>
        </is>
      </c>
      <c r="L594" t="inlineStr">
        <is>
          <t>Cargue inicial oficial desde INVENTARIO.xlsx</t>
        </is>
      </c>
      <c r="M594" s="59" t="n">
        <v>46264</v>
      </c>
    </row>
    <row r="595">
      <c r="A595" t="n">
        <v>40138</v>
      </c>
      <c r="B595" t="inlineStr">
        <is>
          <t>CAJA DE PASO METÁLICA 20 X 20 X 10 CON CHAPA DE LLAVE EJG</t>
        </is>
      </c>
      <c r="C595" t="inlineStr">
        <is>
          <t>Herramientas</t>
        </is>
      </c>
      <c r="D595" t="inlineStr">
        <is>
          <t>General</t>
        </is>
      </c>
      <c r="E595" t="inlineStr">
        <is>
          <t>Caja</t>
        </is>
      </c>
      <c r="F595" t="inlineStr">
        <is>
          <t>Generico</t>
        </is>
      </c>
      <c r="G595" t="inlineStr">
        <is>
          <t>-</t>
        </is>
      </c>
      <c r="H595" t="inlineStr">
        <is>
          <t>-</t>
        </is>
      </c>
      <c r="I595" t="inlineStr">
        <is>
          <t>NO APLICA</t>
        </is>
      </c>
      <c r="J595" t="n">
        <v>5</v>
      </c>
      <c r="K595" t="inlineStr">
        <is>
          <t>Activo</t>
        </is>
      </c>
      <c r="L595" t="inlineStr">
        <is>
          <t>Cargue inicial oficial desde INVENTARIO.xlsx</t>
        </is>
      </c>
      <c r="M595" s="59" t="n">
        <v>46264</v>
      </c>
    </row>
    <row r="596">
      <c r="A596" t="n">
        <v>40141</v>
      </c>
      <c r="B596" t="inlineStr">
        <is>
          <t>TAPA DEL EXTREMO DEL CABLE TRONCAL AC - HMS</t>
        </is>
      </c>
      <c r="C596" t="inlineStr">
        <is>
          <t>Cableado</t>
        </is>
      </c>
      <c r="D596" t="inlineStr">
        <is>
          <t>General</t>
        </is>
      </c>
      <c r="E596" t="inlineStr">
        <is>
          <t>Metro</t>
        </is>
      </c>
      <c r="F596" t="inlineStr">
        <is>
          <t>Generico</t>
        </is>
      </c>
      <c r="G596" t="inlineStr">
        <is>
          <t>-</t>
        </is>
      </c>
      <c r="H596" t="inlineStr">
        <is>
          <t>-</t>
        </is>
      </c>
      <c r="I596" t="inlineStr">
        <is>
          <t>NO APLICA</t>
        </is>
      </c>
      <c r="J596" t="n">
        <v>5</v>
      </c>
      <c r="K596" t="inlineStr">
        <is>
          <t>Activo</t>
        </is>
      </c>
      <c r="L596" t="inlineStr">
        <is>
          <t>Cargue inicial oficial desde INVENTARIO.xlsx</t>
        </is>
      </c>
      <c r="M596" s="59" t="n">
        <v>46264</v>
      </c>
    </row>
    <row r="597">
      <c r="A597" t="n">
        <v>40260</v>
      </c>
      <c r="B597" t="inlineStr">
        <is>
          <t>TERMINAL OJO PLASTICA 10-12 AWG 5/16"</t>
        </is>
      </c>
      <c r="C597" t="inlineStr">
        <is>
          <t>Elementos electricos</t>
        </is>
      </c>
      <c r="D597" t="inlineStr">
        <is>
          <t>General</t>
        </is>
      </c>
      <c r="E597" t="inlineStr">
        <is>
          <t>Unidad</t>
        </is>
      </c>
      <c r="F597" t="inlineStr">
        <is>
          <t>Generico</t>
        </is>
      </c>
      <c r="G597" t="inlineStr">
        <is>
          <t>-</t>
        </is>
      </c>
      <c r="H597" t="inlineStr">
        <is>
          <t>-</t>
        </is>
      </c>
      <c r="I597" t="inlineStr">
        <is>
          <t>NO APLICA</t>
        </is>
      </c>
      <c r="J597" t="n">
        <v>5</v>
      </c>
      <c r="K597" t="inlineStr">
        <is>
          <t>Activo</t>
        </is>
      </c>
      <c r="L597" t="inlineStr">
        <is>
          <t>Cargue inicial oficial desde INVENTARIO.xlsx</t>
        </is>
      </c>
      <c r="M597" s="59" t="n">
        <v>46264</v>
      </c>
    </row>
    <row r="598">
      <c r="A598" t="n">
        <v>40425</v>
      </c>
      <c r="B598" t="inlineStr">
        <is>
          <t>GABINETE PLÁSTICO IP65 KOWET  COD. 84360 REF. KLG 3321 343X348X216MM</t>
        </is>
      </c>
      <c r="C598" t="inlineStr">
        <is>
          <t>Materiales</t>
        </is>
      </c>
      <c r="D598" t="inlineStr">
        <is>
          <t>General</t>
        </is>
      </c>
      <c r="E598" t="inlineStr">
        <is>
          <t>Unidad</t>
        </is>
      </c>
      <c r="F598" t="inlineStr">
        <is>
          <t>Generico</t>
        </is>
      </c>
      <c r="G598" t="inlineStr">
        <is>
          <t>-</t>
        </is>
      </c>
      <c r="H598" t="inlineStr">
        <is>
          <t>-</t>
        </is>
      </c>
      <c r="I598" t="inlineStr">
        <is>
          <t>NO APLICA</t>
        </is>
      </c>
      <c r="J598" t="n">
        <v>5</v>
      </c>
      <c r="K598" t="inlineStr">
        <is>
          <t>Activo</t>
        </is>
      </c>
      <c r="L598" t="inlineStr">
        <is>
          <t>Cargue inicial oficial desde INVENTARIO.xlsx</t>
        </is>
      </c>
      <c r="M598" s="59" t="n">
        <v>46264</v>
      </c>
    </row>
    <row r="599">
      <c r="A599" t="n">
        <v>40436</v>
      </c>
      <c r="B599" t="inlineStr">
        <is>
          <t>CABLE TELDOR RS-422/485 2X2X22/7 AWG SF/FTP PVC/PVC</t>
        </is>
      </c>
      <c r="C599" t="inlineStr">
        <is>
          <t>Cableado</t>
        </is>
      </c>
      <c r="D599" t="inlineStr">
        <is>
          <t>General</t>
        </is>
      </c>
      <c r="E599" t="inlineStr">
        <is>
          <t>Metro</t>
        </is>
      </c>
      <c r="F599" t="inlineStr">
        <is>
          <t>Generico</t>
        </is>
      </c>
      <c r="G599" t="inlineStr">
        <is>
          <t>-</t>
        </is>
      </c>
      <c r="H599" t="inlineStr">
        <is>
          <t>-</t>
        </is>
      </c>
      <c r="I599" t="inlineStr">
        <is>
          <t>NO APLICA</t>
        </is>
      </c>
      <c r="J599" t="n">
        <v>5</v>
      </c>
      <c r="K599" t="inlineStr">
        <is>
          <t>Activo</t>
        </is>
      </c>
      <c r="L599" t="inlineStr">
        <is>
          <t>Cargue inicial oficial desde INVENTARIO.xlsx</t>
        </is>
      </c>
      <c r="M599" s="59" t="n">
        <v>46264</v>
      </c>
    </row>
    <row r="600">
      <c r="A600" t="n">
        <v>41079</v>
      </c>
      <c r="B600" t="inlineStr">
        <is>
          <t>CAJA DE PASO METALICA 20X20X15</t>
        </is>
      </c>
      <c r="C600" t="inlineStr">
        <is>
          <t>Materiales</t>
        </is>
      </c>
      <c r="D600" t="inlineStr">
        <is>
          <t>General</t>
        </is>
      </c>
      <c r="E600" t="inlineStr">
        <is>
          <t>Caja</t>
        </is>
      </c>
      <c r="F600" t="inlineStr">
        <is>
          <t>Generico</t>
        </is>
      </c>
      <c r="G600" t="inlineStr">
        <is>
          <t>-</t>
        </is>
      </c>
      <c r="H600" t="inlineStr">
        <is>
          <t>-</t>
        </is>
      </c>
      <c r="I600" t="inlineStr">
        <is>
          <t>NO APLICA</t>
        </is>
      </c>
      <c r="J600" t="n">
        <v>5</v>
      </c>
      <c r="K600" t="inlineStr">
        <is>
          <t>Activo</t>
        </is>
      </c>
      <c r="L600" t="inlineStr">
        <is>
          <t>Cargue inicial oficial desde INVENTARIO.xlsx</t>
        </is>
      </c>
      <c r="M600" s="59" t="n">
        <v>46264</v>
      </c>
    </row>
    <row r="601">
      <c r="A601" t="n">
        <v>41090</v>
      </c>
      <c r="B601" t="inlineStr">
        <is>
          <t>TERMOENCOGIBLE NEGRO 8 MM</t>
        </is>
      </c>
      <c r="C601" t="inlineStr">
        <is>
          <t>Materiales</t>
        </is>
      </c>
      <c r="D601" t="inlineStr">
        <is>
          <t>General</t>
        </is>
      </c>
      <c r="E601" t="inlineStr">
        <is>
          <t>Unidad</t>
        </is>
      </c>
      <c r="F601" t="inlineStr">
        <is>
          <t>Generico</t>
        </is>
      </c>
      <c r="G601" t="inlineStr">
        <is>
          <t>-</t>
        </is>
      </c>
      <c r="H601" t="inlineStr">
        <is>
          <t>-</t>
        </is>
      </c>
      <c r="I601" t="inlineStr">
        <is>
          <t>NO APLICA</t>
        </is>
      </c>
      <c r="J601" t="n">
        <v>5</v>
      </c>
      <c r="K601" t="inlineStr">
        <is>
          <t>Activo</t>
        </is>
      </c>
      <c r="L601" t="inlineStr">
        <is>
          <t>Cargue inicial oficial desde INVENTARIO.xlsx</t>
        </is>
      </c>
      <c r="M601" s="59" t="n">
        <v>46264</v>
      </c>
    </row>
    <row r="602">
      <c r="A602" t="n">
        <v>41094</v>
      </c>
      <c r="B602" t="inlineStr">
        <is>
          <t>BROCA ESCALONADA  1/8 - 1/2</t>
        </is>
      </c>
      <c r="C602" t="inlineStr">
        <is>
          <t>Materiales</t>
        </is>
      </c>
      <c r="D602" t="inlineStr">
        <is>
          <t>General</t>
        </is>
      </c>
      <c r="E602" t="inlineStr">
        <is>
          <t>Unidad</t>
        </is>
      </c>
      <c r="F602" t="inlineStr">
        <is>
          <t>Generico</t>
        </is>
      </c>
      <c r="G602" t="inlineStr">
        <is>
          <t>-</t>
        </is>
      </c>
      <c r="H602" t="inlineStr">
        <is>
          <t>-</t>
        </is>
      </c>
      <c r="I602" t="inlineStr">
        <is>
          <t>NO APLICA</t>
        </is>
      </c>
      <c r="J602" t="n">
        <v>5</v>
      </c>
      <c r="K602" t="inlineStr">
        <is>
          <t>Activo</t>
        </is>
      </c>
      <c r="L602" t="inlineStr">
        <is>
          <t>Cargue inicial oficial desde INVENTARIO.xlsx</t>
        </is>
      </c>
      <c r="M602" s="59" t="n">
        <v>46264</v>
      </c>
    </row>
    <row r="603">
      <c r="A603" t="n">
        <v>41095</v>
      </c>
      <c r="B603" t="inlineStr">
        <is>
          <t>BROCA ESCALONADA 1/4 - 3/4</t>
        </is>
      </c>
      <c r="C603" t="inlineStr">
        <is>
          <t>Materiales</t>
        </is>
      </c>
      <c r="D603" t="inlineStr">
        <is>
          <t>General</t>
        </is>
      </c>
      <c r="E603" t="inlineStr">
        <is>
          <t>Unidad</t>
        </is>
      </c>
      <c r="F603" t="inlineStr">
        <is>
          <t>Generico</t>
        </is>
      </c>
      <c r="G603" t="inlineStr">
        <is>
          <t>-</t>
        </is>
      </c>
      <c r="H603" t="inlineStr">
        <is>
          <t>-</t>
        </is>
      </c>
      <c r="I603" t="inlineStr">
        <is>
          <t>NO APLICA</t>
        </is>
      </c>
      <c r="J603" t="n">
        <v>5</v>
      </c>
      <c r="K603" t="inlineStr">
        <is>
          <t>Activo</t>
        </is>
      </c>
      <c r="L603" t="inlineStr">
        <is>
          <t>Cargue inicial oficial desde INVENTARIO.xlsx</t>
        </is>
      </c>
      <c r="M603" s="59" t="n">
        <v>46264</v>
      </c>
    </row>
    <row r="604">
      <c r="A604" t="n">
        <v>41096</v>
      </c>
      <c r="B604" t="inlineStr">
        <is>
          <t>BROCA ESCALONADA 3/16 - 7/8 - 3/8"</t>
        </is>
      </c>
      <c r="C604" t="inlineStr">
        <is>
          <t>Materiales</t>
        </is>
      </c>
      <c r="D604" t="inlineStr">
        <is>
          <t>General</t>
        </is>
      </c>
      <c r="E604" t="inlineStr">
        <is>
          <t>Unidad</t>
        </is>
      </c>
      <c r="F604" t="inlineStr">
        <is>
          <t>Generico</t>
        </is>
      </c>
      <c r="G604" t="inlineStr">
        <is>
          <t>-</t>
        </is>
      </c>
      <c r="H604" t="inlineStr">
        <is>
          <t>-</t>
        </is>
      </c>
      <c r="I604" t="inlineStr">
        <is>
          <t>NO APLICA</t>
        </is>
      </c>
      <c r="J604" t="n">
        <v>5</v>
      </c>
      <c r="K604" t="inlineStr">
        <is>
          <t>Activo</t>
        </is>
      </c>
      <c r="L604" t="inlineStr">
        <is>
          <t>Cargue inicial oficial desde INVENTARIO.xlsx</t>
        </is>
      </c>
      <c r="M604" s="59" t="n">
        <v>46264</v>
      </c>
    </row>
    <row r="605">
      <c r="A605" t="n">
        <v>41114</v>
      </c>
      <c r="B605" t="inlineStr">
        <is>
          <t>TERMINAL PIN HUECO 4 AWG</t>
        </is>
      </c>
      <c r="C605" t="inlineStr">
        <is>
          <t>Elementos electricos</t>
        </is>
      </c>
      <c r="D605" t="inlineStr">
        <is>
          <t>General</t>
        </is>
      </c>
      <c r="E605" t="inlineStr">
        <is>
          <t>Unidad</t>
        </is>
      </c>
      <c r="F605" t="inlineStr">
        <is>
          <t>Generico</t>
        </is>
      </c>
      <c r="G605" t="inlineStr">
        <is>
          <t>-</t>
        </is>
      </c>
      <c r="H605" t="inlineStr">
        <is>
          <t>-</t>
        </is>
      </c>
      <c r="I605" t="inlineStr">
        <is>
          <t>NO APLICA</t>
        </is>
      </c>
      <c r="J605" t="n">
        <v>5</v>
      </c>
      <c r="K605" t="inlineStr">
        <is>
          <t>Activo</t>
        </is>
      </c>
      <c r="L605" t="inlineStr">
        <is>
          <t>Cargue inicial oficial desde INVENTARIO.xlsx</t>
        </is>
      </c>
      <c r="M605" s="59" t="n">
        <v>46264</v>
      </c>
    </row>
    <row r="606">
      <c r="A606" t="n">
        <v>41121</v>
      </c>
      <c r="B606" t="inlineStr">
        <is>
          <t>TERMINAL BIMETALICA OJO 4/0 AWG HUECO 1/2" CILES</t>
        </is>
      </c>
      <c r="C606" t="inlineStr">
        <is>
          <t>Elementos electricos</t>
        </is>
      </c>
      <c r="D606" t="inlineStr">
        <is>
          <t>General</t>
        </is>
      </c>
      <c r="E606" t="inlineStr">
        <is>
          <t>Unidad</t>
        </is>
      </c>
      <c r="F606" t="inlineStr">
        <is>
          <t>Generico</t>
        </is>
      </c>
      <c r="G606" t="inlineStr">
        <is>
          <t>-</t>
        </is>
      </c>
      <c r="H606" t="inlineStr">
        <is>
          <t>-</t>
        </is>
      </c>
      <c r="I606" t="inlineStr">
        <is>
          <t>NO APLICA</t>
        </is>
      </c>
      <c r="J606" t="n">
        <v>5</v>
      </c>
      <c r="K606" t="inlineStr">
        <is>
          <t>Activo</t>
        </is>
      </c>
      <c r="L606" t="inlineStr">
        <is>
          <t>Cargue inicial oficial desde INVENTARIO.xlsx</t>
        </is>
      </c>
      <c r="M606" s="59" t="n">
        <v>46264</v>
      </c>
    </row>
    <row r="607">
      <c r="A607" t="n">
        <v>41224</v>
      </c>
      <c r="B607" t="inlineStr">
        <is>
          <t>TERMINAL OJO 350 KCMIL HUECO 1/"2</t>
        </is>
      </c>
      <c r="C607" t="inlineStr">
        <is>
          <t>Elementos electricos</t>
        </is>
      </c>
      <c r="D607" t="inlineStr">
        <is>
          <t>General</t>
        </is>
      </c>
      <c r="E607" t="inlineStr">
        <is>
          <t>Unidad</t>
        </is>
      </c>
      <c r="F607" t="inlineStr">
        <is>
          <t>Generico</t>
        </is>
      </c>
      <c r="G607" t="inlineStr">
        <is>
          <t>-</t>
        </is>
      </c>
      <c r="H607" t="inlineStr">
        <is>
          <t>-</t>
        </is>
      </c>
      <c r="I607" t="inlineStr">
        <is>
          <t>NO APLICA</t>
        </is>
      </c>
      <c r="J607" t="n">
        <v>5</v>
      </c>
      <c r="K607" t="inlineStr">
        <is>
          <t>Activo</t>
        </is>
      </c>
      <c r="L607" t="inlineStr">
        <is>
          <t>Cargue inicial oficial desde INVENTARIO.xlsx</t>
        </is>
      </c>
      <c r="M607" s="59" t="n">
        <v>46264</v>
      </c>
    </row>
    <row r="608">
      <c r="A608" t="n">
        <v>41225</v>
      </c>
      <c r="B608" t="inlineStr">
        <is>
          <t>TERMINAL BIMETALICA OJO 4/0 AWG HUECO 1/2"</t>
        </is>
      </c>
      <c r="C608" t="inlineStr">
        <is>
          <t>Elementos electricos</t>
        </is>
      </c>
      <c r="D608" t="inlineStr">
        <is>
          <t>General</t>
        </is>
      </c>
      <c r="E608" t="inlineStr">
        <is>
          <t>Unidad</t>
        </is>
      </c>
      <c r="F608" t="inlineStr">
        <is>
          <t>Generico</t>
        </is>
      </c>
      <c r="G608" t="inlineStr">
        <is>
          <t>-</t>
        </is>
      </c>
      <c r="H608" t="inlineStr">
        <is>
          <t>-</t>
        </is>
      </c>
      <c r="I608" t="inlineStr">
        <is>
          <t>NO APLICA</t>
        </is>
      </c>
      <c r="J608" t="n">
        <v>5</v>
      </c>
      <c r="K608" t="inlineStr">
        <is>
          <t>Activo</t>
        </is>
      </c>
      <c r="L608" t="inlineStr">
        <is>
          <t>Cargue inicial oficial desde INVENTARIO.xlsx</t>
        </is>
      </c>
      <c r="M608" s="59" t="n">
        <v>46264</v>
      </c>
    </row>
    <row r="609">
      <c r="A609" t="n">
        <v>41281</v>
      </c>
      <c r="B609" t="inlineStr">
        <is>
          <t>FUSIBLE 20A</t>
        </is>
      </c>
      <c r="C609" t="inlineStr">
        <is>
          <t>Materiales</t>
        </is>
      </c>
      <c r="D609" t="inlineStr">
        <is>
          <t>General</t>
        </is>
      </c>
      <c r="E609" t="inlineStr">
        <is>
          <t>Unidad</t>
        </is>
      </c>
      <c r="F609" t="inlineStr">
        <is>
          <t>Generico</t>
        </is>
      </c>
      <c r="G609" t="inlineStr">
        <is>
          <t>-</t>
        </is>
      </c>
      <c r="H609" t="inlineStr">
        <is>
          <t>-</t>
        </is>
      </c>
      <c r="I609" t="inlineStr">
        <is>
          <t>NO APLICA</t>
        </is>
      </c>
      <c r="J609" t="n">
        <v>5</v>
      </c>
      <c r="K609" t="inlineStr">
        <is>
          <t>Activo</t>
        </is>
      </c>
      <c r="L609" t="inlineStr">
        <is>
          <t>Cargue inicial oficial desde INVENTARIO.xlsx</t>
        </is>
      </c>
      <c r="M609" s="59" t="n">
        <v>46264</v>
      </c>
    </row>
    <row r="610">
      <c r="A610" t="n">
        <v>41285</v>
      </c>
      <c r="B610" t="inlineStr">
        <is>
          <t>INTERRUPTOR TERMOMAGNETICO INDUSTRIAL TRIPOLAR 100A (50KA) LS</t>
        </is>
      </c>
      <c r="C610" t="inlineStr">
        <is>
          <t>Elementos electricos</t>
        </is>
      </c>
      <c r="D610" t="inlineStr">
        <is>
          <t>General</t>
        </is>
      </c>
      <c r="E610" t="inlineStr">
        <is>
          <t>Unidad</t>
        </is>
      </c>
      <c r="F610" t="inlineStr">
        <is>
          <t>Generico</t>
        </is>
      </c>
      <c r="G610" t="inlineStr">
        <is>
          <t>-</t>
        </is>
      </c>
      <c r="H610" t="inlineStr">
        <is>
          <t>C2</t>
        </is>
      </c>
      <c r="I610" t="inlineStr">
        <is>
          <t>NO APLICA</t>
        </is>
      </c>
      <c r="J610" t="n">
        <v>5</v>
      </c>
      <c r="K610" t="inlineStr">
        <is>
          <t>Activo</t>
        </is>
      </c>
      <c r="L610" t="inlineStr">
        <is>
          <t>Cargue inicial oficial desde INVENTARIO.xlsx</t>
        </is>
      </c>
      <c r="M610" s="59" t="n">
        <v>46264</v>
      </c>
    </row>
    <row r="611">
      <c r="A611" t="n">
        <v>41286</v>
      </c>
      <c r="B611" t="inlineStr">
        <is>
          <t>PORTAFUSIBLE 32A</t>
        </is>
      </c>
      <c r="C611" t="inlineStr">
        <is>
          <t>Materiales</t>
        </is>
      </c>
      <c r="D611" t="inlineStr">
        <is>
          <t>General</t>
        </is>
      </c>
      <c r="E611" t="inlineStr">
        <is>
          <t>Unidad</t>
        </is>
      </c>
      <c r="F611" t="inlineStr">
        <is>
          <t>Generico</t>
        </is>
      </c>
      <c r="G611" t="inlineStr">
        <is>
          <t>-</t>
        </is>
      </c>
      <c r="H611" t="inlineStr">
        <is>
          <t>-</t>
        </is>
      </c>
      <c r="I611" t="inlineStr">
        <is>
          <t>NO APLICA</t>
        </is>
      </c>
      <c r="J611" t="n">
        <v>5</v>
      </c>
      <c r="K611" t="inlineStr">
        <is>
          <t>Activo</t>
        </is>
      </c>
      <c r="L611" t="inlineStr">
        <is>
          <t>Cargue inicial oficial desde INVENTARIO.xlsx</t>
        </is>
      </c>
      <c r="M611" s="59" t="n">
        <v>46264</v>
      </c>
    </row>
    <row r="612">
      <c r="A612" t="n">
        <v>41291</v>
      </c>
      <c r="B612" t="inlineStr">
        <is>
          <t>COPA SIERRA 3 "</t>
        </is>
      </c>
      <c r="C612" t="inlineStr">
        <is>
          <t>Materiales</t>
        </is>
      </c>
      <c r="D612" t="inlineStr">
        <is>
          <t>General</t>
        </is>
      </c>
      <c r="E612" t="inlineStr">
        <is>
          <t>Unidad</t>
        </is>
      </c>
      <c r="F612" t="inlineStr">
        <is>
          <t>Generico</t>
        </is>
      </c>
      <c r="G612" t="inlineStr">
        <is>
          <t>-</t>
        </is>
      </c>
      <c r="H612" t="inlineStr">
        <is>
          <t>-</t>
        </is>
      </c>
      <c r="I612" t="inlineStr">
        <is>
          <t>NO APLICA</t>
        </is>
      </c>
      <c r="J612" t="n">
        <v>5</v>
      </c>
      <c r="K612" t="inlineStr">
        <is>
          <t>Activo</t>
        </is>
      </c>
      <c r="L612" t="inlineStr">
        <is>
          <t>Cargue inicial oficial desde INVENTARIO.xlsx</t>
        </is>
      </c>
      <c r="M612" s="59" t="n">
        <v>46264</v>
      </c>
    </row>
    <row r="613">
      <c r="A613" t="n">
        <v>41301</v>
      </c>
      <c r="B613" t="inlineStr">
        <is>
          <t>TERMINAL COBRE OJO #10 HUECO 1/4"</t>
        </is>
      </c>
      <c r="C613" t="inlineStr">
        <is>
          <t>Elementos electricos</t>
        </is>
      </c>
      <c r="D613" t="inlineStr">
        <is>
          <t>General</t>
        </is>
      </c>
      <c r="E613" t="inlineStr">
        <is>
          <t>Unidad</t>
        </is>
      </c>
      <c r="F613" t="inlineStr">
        <is>
          <t>Generico</t>
        </is>
      </c>
      <c r="G613" t="inlineStr">
        <is>
          <t>-</t>
        </is>
      </c>
      <c r="H613" t="inlineStr">
        <is>
          <t>-</t>
        </is>
      </c>
      <c r="I613" t="inlineStr">
        <is>
          <t>NO APLICA</t>
        </is>
      </c>
      <c r="J613" t="n">
        <v>5</v>
      </c>
      <c r="K613" t="inlineStr">
        <is>
          <t>Activo</t>
        </is>
      </c>
      <c r="L613" t="inlineStr">
        <is>
          <t>Cargue inicial oficial desde INVENTARIO.xlsx</t>
        </is>
      </c>
      <c r="M613" s="59" t="n">
        <v>46264</v>
      </c>
    </row>
    <row r="614">
      <c r="A614" t="n">
        <v>41432</v>
      </c>
      <c r="B614" t="inlineStr">
        <is>
          <t>UNION IMC 2 1/2"</t>
        </is>
      </c>
      <c r="C614" t="inlineStr">
        <is>
          <t>Materiales</t>
        </is>
      </c>
      <c r="D614" t="inlineStr">
        <is>
          <t>General</t>
        </is>
      </c>
      <c r="E614" t="inlineStr">
        <is>
          <t>Unidad</t>
        </is>
      </c>
      <c r="F614" t="inlineStr">
        <is>
          <t>Generico</t>
        </is>
      </c>
      <c r="G614" t="inlineStr">
        <is>
          <t>-</t>
        </is>
      </c>
      <c r="H614" t="inlineStr">
        <is>
          <t>-</t>
        </is>
      </c>
      <c r="I614" t="inlineStr">
        <is>
          <t>NO APLICA</t>
        </is>
      </c>
      <c r="J614" t="n">
        <v>5</v>
      </c>
      <c r="K614" t="inlineStr">
        <is>
          <t>Activo</t>
        </is>
      </c>
      <c r="L614" t="inlineStr">
        <is>
          <t>Cargue inicial oficial desde INVENTARIO.xlsx</t>
        </is>
      </c>
      <c r="M614" s="59" t="n">
        <v>46264</v>
      </c>
    </row>
    <row r="615">
      <c r="A615" t="n">
        <v>41434</v>
      </c>
      <c r="B615" t="inlineStr">
        <is>
          <t>UNION EMT 2 1/2"</t>
        </is>
      </c>
      <c r="C615" t="inlineStr">
        <is>
          <t>Materiales</t>
        </is>
      </c>
      <c r="D615" t="inlineStr">
        <is>
          <t>General</t>
        </is>
      </c>
      <c r="E615" t="inlineStr">
        <is>
          <t>Unidad</t>
        </is>
      </c>
      <c r="F615" t="inlineStr">
        <is>
          <t>Generico</t>
        </is>
      </c>
      <c r="G615" t="inlineStr">
        <is>
          <t>-</t>
        </is>
      </c>
      <c r="H615" t="inlineStr">
        <is>
          <t>-</t>
        </is>
      </c>
      <c r="I615" t="inlineStr">
        <is>
          <t>NO APLICA</t>
        </is>
      </c>
      <c r="J615" t="n">
        <v>5</v>
      </c>
      <c r="K615" t="inlineStr">
        <is>
          <t>Activo</t>
        </is>
      </c>
      <c r="L615" t="inlineStr">
        <is>
          <t>Cargue inicial oficial desde INVENTARIO.xlsx</t>
        </is>
      </c>
      <c r="M615" s="59" t="n">
        <v>46264</v>
      </c>
    </row>
    <row r="616">
      <c r="A616" t="n">
        <v>41506</v>
      </c>
      <c r="B616" t="inlineStr">
        <is>
          <t>BROCA SDS PLUS PARA CONCRETO 3/8”</t>
        </is>
      </c>
      <c r="C616" t="inlineStr">
        <is>
          <t>Materiales</t>
        </is>
      </c>
      <c r="D616" t="inlineStr">
        <is>
          <t>General</t>
        </is>
      </c>
      <c r="E616" t="inlineStr">
        <is>
          <t>Unidad</t>
        </is>
      </c>
      <c r="F616" t="inlineStr">
        <is>
          <t>Generico</t>
        </is>
      </c>
      <c r="G616" t="inlineStr">
        <is>
          <t>-</t>
        </is>
      </c>
      <c r="H616" t="inlineStr">
        <is>
          <t>-</t>
        </is>
      </c>
      <c r="I616" t="inlineStr">
        <is>
          <t>NO APLICA</t>
        </is>
      </c>
      <c r="J616" t="n">
        <v>5</v>
      </c>
      <c r="K616" t="inlineStr">
        <is>
          <t>Activo</t>
        </is>
      </c>
      <c r="L616" t="inlineStr">
        <is>
          <t>Cargue inicial oficial desde INVENTARIO.xlsx</t>
        </is>
      </c>
      <c r="M616" s="59" t="n">
        <v>46264</v>
      </c>
    </row>
    <row r="617">
      <c r="A617" t="n">
        <v>41546</v>
      </c>
      <c r="B617" t="inlineStr">
        <is>
          <t>DISCO DE DESVASTE DE 4 1/2 PLG</t>
        </is>
      </c>
      <c r="C617" t="inlineStr">
        <is>
          <t>Consumibles</t>
        </is>
      </c>
      <c r="D617" t="inlineStr">
        <is>
          <t>General</t>
        </is>
      </c>
      <c r="E617" t="inlineStr">
        <is>
          <t>Unidad</t>
        </is>
      </c>
      <c r="F617" t="inlineStr">
        <is>
          <t>Generico</t>
        </is>
      </c>
      <c r="G617" t="inlineStr">
        <is>
          <t>-</t>
        </is>
      </c>
      <c r="H617" t="inlineStr">
        <is>
          <t>-</t>
        </is>
      </c>
      <c r="I617" t="inlineStr">
        <is>
          <t>NO APLICA</t>
        </is>
      </c>
      <c r="J617" t="n">
        <v>5</v>
      </c>
      <c r="K617" t="inlineStr">
        <is>
          <t>Activo</t>
        </is>
      </c>
      <c r="L617" t="inlineStr">
        <is>
          <t>Cargue inicial oficial desde INVENTARIO.xlsx</t>
        </is>
      </c>
      <c r="M617" s="59" t="n">
        <v>46264</v>
      </c>
    </row>
    <row r="618">
      <c r="A618" t="n">
        <v>41654</v>
      </c>
      <c r="B618" t="inlineStr">
        <is>
          <t>CONDULETA T 3" INTEMPERIE</t>
        </is>
      </c>
      <c r="C618" t="inlineStr">
        <is>
          <t>Materiales</t>
        </is>
      </c>
      <c r="D618" t="inlineStr">
        <is>
          <t>General</t>
        </is>
      </c>
      <c r="E618" t="inlineStr">
        <is>
          <t>Unidad</t>
        </is>
      </c>
      <c r="F618" t="inlineStr">
        <is>
          <t>Generico</t>
        </is>
      </c>
      <c r="G618" t="inlineStr">
        <is>
          <t>-</t>
        </is>
      </c>
      <c r="H618" t="inlineStr">
        <is>
          <t>A5</t>
        </is>
      </c>
      <c r="I618" t="inlineStr">
        <is>
          <t>NO APLICA</t>
        </is>
      </c>
      <c r="J618" t="n">
        <v>5</v>
      </c>
      <c r="K618" t="inlineStr">
        <is>
          <t>Activo</t>
        </is>
      </c>
      <c r="L618" t="inlineStr">
        <is>
          <t>Cargue inicial oficial desde INVENTARIO.xlsx</t>
        </is>
      </c>
      <c r="M618" s="59" t="n">
        <v>46264</v>
      </c>
    </row>
    <row r="619">
      <c r="A619" t="n">
        <v>41655</v>
      </c>
      <c r="B619" t="inlineStr">
        <is>
          <t>CONDULETA LL 3" INTERIOR</t>
        </is>
      </c>
      <c r="C619" t="inlineStr">
        <is>
          <t>Materiales</t>
        </is>
      </c>
      <c r="D619" t="inlineStr">
        <is>
          <t>General</t>
        </is>
      </c>
      <c r="E619" t="inlineStr">
        <is>
          <t>Unidad</t>
        </is>
      </c>
      <c r="F619" t="inlineStr">
        <is>
          <t>Generico</t>
        </is>
      </c>
      <c r="G619" t="inlineStr">
        <is>
          <t>-</t>
        </is>
      </c>
      <c r="H619" t="inlineStr">
        <is>
          <t>A4</t>
        </is>
      </c>
      <c r="I619" t="inlineStr">
        <is>
          <t>NO APLICA</t>
        </is>
      </c>
      <c r="J619" t="n">
        <v>5</v>
      </c>
      <c r="K619" t="inlineStr">
        <is>
          <t>Activo</t>
        </is>
      </c>
      <c r="L619" t="inlineStr">
        <is>
          <t>Cargue inicial oficial desde INVENTARIO.xlsx</t>
        </is>
      </c>
      <c r="M619" s="59" t="n">
        <v>46264</v>
      </c>
    </row>
    <row r="620">
      <c r="A620" t="n">
        <v>41656</v>
      </c>
      <c r="B620" t="inlineStr">
        <is>
          <t>CONDULETA LL 3" INTEMPERIE</t>
        </is>
      </c>
      <c r="C620" t="inlineStr">
        <is>
          <t>Materiales</t>
        </is>
      </c>
      <c r="D620" t="inlineStr">
        <is>
          <t>General</t>
        </is>
      </c>
      <c r="E620" t="inlineStr">
        <is>
          <t>Unidad</t>
        </is>
      </c>
      <c r="F620" t="inlineStr">
        <is>
          <t>Generico</t>
        </is>
      </c>
      <c r="G620" t="inlineStr">
        <is>
          <t>-</t>
        </is>
      </c>
      <c r="H620" t="inlineStr">
        <is>
          <t>A4</t>
        </is>
      </c>
      <c r="I620" t="inlineStr">
        <is>
          <t>NO APLICA</t>
        </is>
      </c>
      <c r="J620" t="n">
        <v>5</v>
      </c>
      <c r="K620" t="inlineStr">
        <is>
          <t>Activo</t>
        </is>
      </c>
      <c r="L620" t="inlineStr">
        <is>
          <t>Cargue inicial oficial desde INVENTARIO.xlsx</t>
        </is>
      </c>
      <c r="M620" s="59" t="n">
        <v>46264</v>
      </c>
    </row>
    <row r="621">
      <c r="A621" t="n">
        <v>41693</v>
      </c>
      <c r="B621" t="inlineStr">
        <is>
          <t>CABLE ALUMINIO AISLADO 350 KCMIL 600V</t>
        </is>
      </c>
      <c r="C621" t="inlineStr">
        <is>
          <t>Cableado</t>
        </is>
      </c>
      <c r="D621" t="inlineStr">
        <is>
          <t>General</t>
        </is>
      </c>
      <c r="E621" t="inlineStr">
        <is>
          <t>Metro</t>
        </is>
      </c>
      <c r="F621" t="inlineStr">
        <is>
          <t>Generico</t>
        </is>
      </c>
      <c r="G621" t="inlineStr">
        <is>
          <t>-</t>
        </is>
      </c>
      <c r="H621" t="inlineStr">
        <is>
          <t>-</t>
        </is>
      </c>
      <c r="I621" t="inlineStr">
        <is>
          <t>NO APLICA</t>
        </is>
      </c>
      <c r="J621" t="n">
        <v>5</v>
      </c>
      <c r="K621" t="inlineStr">
        <is>
          <t>Activo</t>
        </is>
      </c>
      <c r="L621" t="inlineStr">
        <is>
          <t>Cargue inicial oficial desde INVENTARIO.xlsx</t>
        </is>
      </c>
      <c r="M621" s="59" t="n">
        <v>46264</v>
      </c>
    </row>
    <row r="622">
      <c r="A622" t="n">
        <v>42185</v>
      </c>
      <c r="B622" t="inlineStr">
        <is>
          <t>TERMINAL PIN HUECO 22 AWG</t>
        </is>
      </c>
      <c r="C622" t="inlineStr">
        <is>
          <t>Elementos electricos</t>
        </is>
      </c>
      <c r="D622" t="inlineStr">
        <is>
          <t>General</t>
        </is>
      </c>
      <c r="E622" t="inlineStr">
        <is>
          <t>Unidad</t>
        </is>
      </c>
      <c r="F622" t="inlineStr">
        <is>
          <t>Generico</t>
        </is>
      </c>
      <c r="G622" t="inlineStr">
        <is>
          <t>-</t>
        </is>
      </c>
      <c r="H622" t="inlineStr">
        <is>
          <t>-</t>
        </is>
      </c>
      <c r="I622" t="inlineStr">
        <is>
          <t>NO APLICA</t>
        </is>
      </c>
      <c r="J622" t="n">
        <v>5</v>
      </c>
      <c r="K622" t="inlineStr">
        <is>
          <t>Activo</t>
        </is>
      </c>
      <c r="L622" t="inlineStr">
        <is>
          <t>Cargue inicial oficial desde INVENTARIO.xlsx</t>
        </is>
      </c>
      <c r="M622" s="59" t="n">
        <v>46264</v>
      </c>
    </row>
    <row r="623">
      <c r="A623" t="n">
        <v>42198</v>
      </c>
      <c r="B623" t="inlineStr">
        <is>
          <t>CAJA RADWELT 4X2 SALIDAS 1/2</t>
        </is>
      </c>
      <c r="C623" t="inlineStr">
        <is>
          <t>Materiales</t>
        </is>
      </c>
      <c r="D623" t="inlineStr">
        <is>
          <t>General</t>
        </is>
      </c>
      <c r="E623" t="inlineStr">
        <is>
          <t>Caja</t>
        </is>
      </c>
      <c r="F623" t="inlineStr">
        <is>
          <t>Generico</t>
        </is>
      </c>
      <c r="G623" t="inlineStr">
        <is>
          <t>-</t>
        </is>
      </c>
      <c r="H623" t="inlineStr">
        <is>
          <t>B2</t>
        </is>
      </c>
      <c r="I623" t="inlineStr">
        <is>
          <t>NO APLICA</t>
        </is>
      </c>
      <c r="J623" t="n">
        <v>5</v>
      </c>
      <c r="K623" t="inlineStr">
        <is>
          <t>Activo</t>
        </is>
      </c>
      <c r="L623" t="inlineStr">
        <is>
          <t>Cargue inicial oficial desde INVENTARIO.xlsx</t>
        </is>
      </c>
      <c r="M623" s="59" t="n">
        <v>46264</v>
      </c>
    </row>
    <row r="624">
      <c r="A624" t="n">
        <v>42206</v>
      </c>
      <c r="B624" t="inlineStr">
        <is>
          <t>MOLDE PARA SOLDADURA EXOTÉRMICA TIPO X</t>
        </is>
      </c>
      <c r="C624" t="inlineStr">
        <is>
          <t>Consumibles</t>
        </is>
      </c>
      <c r="D624" t="inlineStr">
        <is>
          <t>General</t>
        </is>
      </c>
      <c r="E624" t="inlineStr">
        <is>
          <t>Unidad</t>
        </is>
      </c>
      <c r="F624" t="inlineStr">
        <is>
          <t>Generico</t>
        </is>
      </c>
      <c r="G624" t="inlineStr">
        <is>
          <t>-</t>
        </is>
      </c>
      <c r="H624" t="inlineStr">
        <is>
          <t>-</t>
        </is>
      </c>
      <c r="I624" t="inlineStr">
        <is>
          <t>NO APLICA</t>
        </is>
      </c>
      <c r="J624" t="n">
        <v>5</v>
      </c>
      <c r="K624" t="inlineStr">
        <is>
          <t>Activo</t>
        </is>
      </c>
      <c r="L624" t="inlineStr">
        <is>
          <t>Cargue inicial oficial desde INVENTARIO.xlsx</t>
        </is>
      </c>
      <c r="M624" s="59" t="n">
        <v>46264</v>
      </c>
    </row>
    <row r="625">
      <c r="A625" t="n">
        <v>42209</v>
      </c>
      <c r="B625" t="inlineStr">
        <is>
          <t>SOLDADURA EXOTERMICA 150GR</t>
        </is>
      </c>
      <c r="C625" t="inlineStr">
        <is>
          <t>Consumibles</t>
        </is>
      </c>
      <c r="D625" t="inlineStr">
        <is>
          <t>General</t>
        </is>
      </c>
      <c r="E625" t="inlineStr">
        <is>
          <t>Unidad</t>
        </is>
      </c>
      <c r="F625" t="inlineStr">
        <is>
          <t>Generico</t>
        </is>
      </c>
      <c r="G625" t="inlineStr">
        <is>
          <t>-</t>
        </is>
      </c>
      <c r="H625" t="inlineStr">
        <is>
          <t>-</t>
        </is>
      </c>
      <c r="I625" t="inlineStr">
        <is>
          <t>NO APLICA</t>
        </is>
      </c>
      <c r="J625" t="n">
        <v>5</v>
      </c>
      <c r="K625" t="inlineStr">
        <is>
          <t>Activo</t>
        </is>
      </c>
      <c r="L625" t="inlineStr">
        <is>
          <t>Cargue inicial oficial desde INVENTARIO.xlsx</t>
        </is>
      </c>
      <c r="M625" s="59" t="n">
        <v>46264</v>
      </c>
    </row>
    <row r="626">
      <c r="A626" t="n">
        <v>42388</v>
      </c>
      <c r="B626" t="inlineStr">
        <is>
          <t>INTERRUPTOR TERMOMAGNETICO ENCHUFABLE BIPOLAR 40A TIVEN LEGRAND 8902/40N</t>
        </is>
      </c>
      <c r="C626" t="inlineStr">
        <is>
          <t>Elementos electricos</t>
        </is>
      </c>
      <c r="D626" t="inlineStr">
        <is>
          <t>General</t>
        </is>
      </c>
      <c r="E626" t="inlineStr">
        <is>
          <t>Unidad</t>
        </is>
      </c>
      <c r="F626" t="inlineStr">
        <is>
          <t>Generico</t>
        </is>
      </c>
      <c r="G626" t="inlineStr">
        <is>
          <t>-</t>
        </is>
      </c>
      <c r="H626" t="inlineStr">
        <is>
          <t>C2</t>
        </is>
      </c>
      <c r="I626" t="inlineStr">
        <is>
          <t>NO APLICA</t>
        </is>
      </c>
      <c r="J626" t="n">
        <v>5</v>
      </c>
      <c r="K626" t="inlineStr">
        <is>
          <t>Activo</t>
        </is>
      </c>
      <c r="L626" t="inlineStr">
        <is>
          <t>Cargue inicial oficial desde INVENTARIO.xlsx</t>
        </is>
      </c>
      <c r="M626" s="59" t="n">
        <v>46264</v>
      </c>
    </row>
    <row r="627">
      <c r="A627" t="n">
        <v>42433</v>
      </c>
      <c r="B627" t="inlineStr">
        <is>
          <t>SIM CARD ONOMONDO</t>
        </is>
      </c>
      <c r="C627" t="inlineStr">
        <is>
          <t>Materiales</t>
        </is>
      </c>
      <c r="D627" t="inlineStr">
        <is>
          <t>General</t>
        </is>
      </c>
      <c r="E627" t="inlineStr">
        <is>
          <t>Unidad</t>
        </is>
      </c>
      <c r="F627" t="inlineStr">
        <is>
          <t>Generico</t>
        </is>
      </c>
      <c r="G627" t="inlineStr">
        <is>
          <t>-</t>
        </is>
      </c>
      <c r="H627" t="inlineStr">
        <is>
          <t>-</t>
        </is>
      </c>
      <c r="I627" t="inlineStr">
        <is>
          <t>NO APLICA</t>
        </is>
      </c>
      <c r="J627" t="n">
        <v>5</v>
      </c>
      <c r="K627" t="inlineStr">
        <is>
          <t>Activo</t>
        </is>
      </c>
      <c r="L627" t="inlineStr">
        <is>
          <t>Cargue inicial oficial desde INVENTARIO.xlsx</t>
        </is>
      </c>
      <c r="M627" s="59" t="n">
        <v>46264</v>
      </c>
    </row>
    <row r="628">
      <c r="A628" t="n">
        <v>42457</v>
      </c>
      <c r="B628" t="inlineStr">
        <is>
          <t>CINTA ROTULADORA VINILO</t>
        </is>
      </c>
      <c r="C628" t="inlineStr">
        <is>
          <t>Consumibles</t>
        </is>
      </c>
      <c r="D628" t="inlineStr">
        <is>
          <t>General</t>
        </is>
      </c>
      <c r="E628" t="inlineStr">
        <is>
          <t>Rollo</t>
        </is>
      </c>
      <c r="F628" t="inlineStr">
        <is>
          <t>Generico</t>
        </is>
      </c>
      <c r="G628" t="inlineStr">
        <is>
          <t>-</t>
        </is>
      </c>
      <c r="H628" t="inlineStr">
        <is>
          <t>-</t>
        </is>
      </c>
      <c r="I628" t="inlineStr">
        <is>
          <t>NO APLICA</t>
        </is>
      </c>
      <c r="J628" t="n">
        <v>5</v>
      </c>
      <c r="K628" t="inlineStr">
        <is>
          <t>Activo</t>
        </is>
      </c>
      <c r="L628" t="inlineStr">
        <is>
          <t>Cargue inicial oficial desde INVENTARIO.xlsx</t>
        </is>
      </c>
      <c r="M628" s="59" t="n">
        <v>46264</v>
      </c>
    </row>
    <row r="629">
      <c r="A629" t="n">
        <v>42796</v>
      </c>
      <c r="B629" t="inlineStr">
        <is>
          <t>LIMPIA CONTACTOS ELECTRICO 200ML</t>
        </is>
      </c>
      <c r="C629" t="inlineStr">
        <is>
          <t>Materiales</t>
        </is>
      </c>
      <c r="D629" t="inlineStr">
        <is>
          <t>General</t>
        </is>
      </c>
      <c r="E629" t="inlineStr">
        <is>
          <t>Unidad</t>
        </is>
      </c>
      <c r="F629" t="inlineStr">
        <is>
          <t>Generico</t>
        </is>
      </c>
      <c r="G629" t="inlineStr">
        <is>
          <t>-</t>
        </is>
      </c>
      <c r="H629" t="inlineStr">
        <is>
          <t>A2</t>
        </is>
      </c>
      <c r="I629" t="inlineStr">
        <is>
          <t>NO APLICA</t>
        </is>
      </c>
      <c r="J629" t="n">
        <v>5</v>
      </c>
      <c r="K629" t="inlineStr">
        <is>
          <t>Activo</t>
        </is>
      </c>
      <c r="L629" t="inlineStr">
        <is>
          <t>Cargue inicial oficial desde INVENTARIO.xlsx</t>
        </is>
      </c>
      <c r="M629" s="59" t="n">
        <v>46264</v>
      </c>
    </row>
    <row r="630">
      <c r="A630" t="n">
        <v>42904</v>
      </c>
      <c r="B630" t="inlineStr">
        <is>
          <t>CABLE MICRO USB TIPO B8 1.5 M</t>
        </is>
      </c>
      <c r="C630" t="inlineStr">
        <is>
          <t>Cableado</t>
        </is>
      </c>
      <c r="D630" t="inlineStr">
        <is>
          <t>General</t>
        </is>
      </c>
      <c r="E630" t="inlineStr">
        <is>
          <t>Metro</t>
        </is>
      </c>
      <c r="F630" t="inlineStr">
        <is>
          <t>Generico</t>
        </is>
      </c>
      <c r="G630" t="inlineStr">
        <is>
          <t>-</t>
        </is>
      </c>
      <c r="H630" t="inlineStr">
        <is>
          <t>-</t>
        </is>
      </c>
      <c r="I630" t="inlineStr">
        <is>
          <t>NO APLICA</t>
        </is>
      </c>
      <c r="J630" t="n">
        <v>5</v>
      </c>
      <c r="K630" t="inlineStr">
        <is>
          <t>Activo</t>
        </is>
      </c>
      <c r="L630" t="inlineStr">
        <is>
          <t>Cargue inicial oficial desde INVENTARIO.xlsx</t>
        </is>
      </c>
      <c r="M630" s="59" t="n">
        <v>46264</v>
      </c>
    </row>
    <row r="631">
      <c r="A631" t="n">
        <v>43781</v>
      </c>
      <c r="B631" t="inlineStr">
        <is>
          <t>CAJA INSPECCION TIERRA POLICARBONATO 30X30</t>
        </is>
      </c>
      <c r="C631" t="inlineStr">
        <is>
          <t>Materiales</t>
        </is>
      </c>
      <c r="D631" t="inlineStr">
        <is>
          <t>General</t>
        </is>
      </c>
      <c r="E631" t="inlineStr">
        <is>
          <t>Caja</t>
        </is>
      </c>
      <c r="F631" t="inlineStr">
        <is>
          <t>Generico</t>
        </is>
      </c>
      <c r="G631" t="inlineStr">
        <is>
          <t>-</t>
        </is>
      </c>
      <c r="H631" t="inlineStr">
        <is>
          <t>-</t>
        </is>
      </c>
      <c r="I631" t="inlineStr">
        <is>
          <t>NO APLICA</t>
        </is>
      </c>
      <c r="J631" t="n">
        <v>5</v>
      </c>
      <c r="K631" t="inlineStr">
        <is>
          <t>Activo</t>
        </is>
      </c>
      <c r="L631" t="inlineStr">
        <is>
          <t>Cargue inicial oficial desde INVENTARIO.xlsx</t>
        </is>
      </c>
      <c r="M631" s="59" t="n">
        <v>46264</v>
      </c>
    </row>
    <row r="632">
      <c r="A632" t="n">
        <v>43846</v>
      </c>
      <c r="B632" t="inlineStr">
        <is>
          <t>TABLERO DISTRIBUCIÓN TRIFASICO 12 CIRCUITOS RIEL DE SOBREPONER CILES</t>
        </is>
      </c>
      <c r="C632" t="inlineStr">
        <is>
          <t>Materiales</t>
        </is>
      </c>
      <c r="D632" t="inlineStr">
        <is>
          <t>General</t>
        </is>
      </c>
      <c r="E632" t="inlineStr">
        <is>
          <t>Unidad</t>
        </is>
      </c>
      <c r="F632" t="inlineStr">
        <is>
          <t>Generico</t>
        </is>
      </c>
      <c r="G632" t="inlineStr">
        <is>
          <t>-</t>
        </is>
      </c>
      <c r="H632" t="inlineStr">
        <is>
          <t>B2</t>
        </is>
      </c>
      <c r="I632" t="inlineStr">
        <is>
          <t>NO APLICA</t>
        </is>
      </c>
      <c r="J632" t="n">
        <v>5</v>
      </c>
      <c r="K632" t="inlineStr">
        <is>
          <t>Activo</t>
        </is>
      </c>
      <c r="L632" t="inlineStr">
        <is>
          <t>Cargue inicial oficial desde INVENTARIO.xlsx</t>
        </is>
      </c>
      <c r="M632" s="59" t="n">
        <v>46264</v>
      </c>
    </row>
    <row r="633">
      <c r="A633" t="n">
        <v>44081</v>
      </c>
      <c r="B633" t="inlineStr">
        <is>
          <t>TORNILLO CABEZA HEXAGONAL Ø1/2" X 1-1/2" ACERO GALVANIZADO</t>
        </is>
      </c>
      <c r="C633" t="inlineStr">
        <is>
          <t>Tornilleria</t>
        </is>
      </c>
      <c r="D633" t="inlineStr">
        <is>
          <t>General</t>
        </is>
      </c>
      <c r="E633" t="inlineStr">
        <is>
          <t>Unidad</t>
        </is>
      </c>
      <c r="F633" t="inlineStr">
        <is>
          <t>Generico</t>
        </is>
      </c>
      <c r="G633" t="inlineStr">
        <is>
          <t>-</t>
        </is>
      </c>
      <c r="H633" t="inlineStr">
        <is>
          <t>-</t>
        </is>
      </c>
      <c r="I633" t="inlineStr">
        <is>
          <t>NO APLICA</t>
        </is>
      </c>
      <c r="J633" t="n">
        <v>5</v>
      </c>
      <c r="K633" t="inlineStr">
        <is>
          <t>Activo</t>
        </is>
      </c>
      <c r="L633" t="inlineStr">
        <is>
          <t>Cargue inicial oficial desde INVENTARIO.xlsx</t>
        </is>
      </c>
      <c r="M633" s="59" t="n">
        <v>46264</v>
      </c>
    </row>
    <row r="634">
      <c r="A634" t="n">
        <v>44125</v>
      </c>
      <c r="B634" t="inlineStr">
        <is>
          <t>CONECTOR JK03M MACHO</t>
        </is>
      </c>
      <c r="C634" t="inlineStr">
        <is>
          <t>Materiales</t>
        </is>
      </c>
      <c r="D634" t="inlineStr">
        <is>
          <t>General</t>
        </is>
      </c>
      <c r="E634" t="inlineStr">
        <is>
          <t>Unidad</t>
        </is>
      </c>
      <c r="F634" t="inlineStr">
        <is>
          <t>Generico</t>
        </is>
      </c>
      <c r="G634" t="inlineStr">
        <is>
          <t>-</t>
        </is>
      </c>
      <c r="H634" t="inlineStr">
        <is>
          <t>-</t>
        </is>
      </c>
      <c r="I634" t="inlineStr">
        <is>
          <t>NO APLICA</t>
        </is>
      </c>
      <c r="J634" t="n">
        <v>5</v>
      </c>
      <c r="K634" t="inlineStr">
        <is>
          <t>Activo</t>
        </is>
      </c>
      <c r="L634" t="inlineStr">
        <is>
          <t>Cargue inicial oficial desde INVENTARIO.xlsx</t>
        </is>
      </c>
      <c r="M634" s="59" t="n">
        <v>46264</v>
      </c>
    </row>
    <row r="635">
      <c r="A635" t="n">
        <v>44126</v>
      </c>
      <c r="B635" t="inlineStr">
        <is>
          <t>CONECTOR JK03M HEMBRA</t>
        </is>
      </c>
      <c r="C635" t="inlineStr">
        <is>
          <t>Materiales</t>
        </is>
      </c>
      <c r="D635" t="inlineStr">
        <is>
          <t>General</t>
        </is>
      </c>
      <c r="E635" t="inlineStr">
        <is>
          <t>Unidad</t>
        </is>
      </c>
      <c r="F635" t="inlineStr">
        <is>
          <t>Generico</t>
        </is>
      </c>
      <c r="G635" t="inlineStr">
        <is>
          <t>-</t>
        </is>
      </c>
      <c r="H635" t="inlineStr">
        <is>
          <t>-</t>
        </is>
      </c>
      <c r="I635" t="inlineStr">
        <is>
          <t>NO APLICA</t>
        </is>
      </c>
      <c r="J635" t="n">
        <v>5</v>
      </c>
      <c r="K635" t="inlineStr">
        <is>
          <t>Activo</t>
        </is>
      </c>
      <c r="L635" t="inlineStr">
        <is>
          <t>Cargue inicial oficial desde INVENTARIO.xlsx</t>
        </is>
      </c>
      <c r="M635" s="59" t="n">
        <v>46264</v>
      </c>
    </row>
    <row r="636">
      <c r="A636" t="n">
        <v>44154</v>
      </c>
      <c r="B636" t="inlineStr">
        <is>
          <t>DTU-PRO-S (WIFI) HOYMILES</t>
        </is>
      </c>
      <c r="C636" t="inlineStr">
        <is>
          <t>Materiales</t>
        </is>
      </c>
      <c r="D636" t="inlineStr">
        <is>
          <t>General</t>
        </is>
      </c>
      <c r="E636" t="inlineStr">
        <is>
          <t>Unidad</t>
        </is>
      </c>
      <c r="F636" t="inlineStr">
        <is>
          <t>Generico</t>
        </is>
      </c>
      <c r="G636" t="inlineStr">
        <is>
          <t>-</t>
        </is>
      </c>
      <c r="H636" t="inlineStr">
        <is>
          <t>-</t>
        </is>
      </c>
      <c r="I636" t="inlineStr">
        <is>
          <t>NO APLICA</t>
        </is>
      </c>
      <c r="J636" t="n">
        <v>5</v>
      </c>
      <c r="K636" t="inlineStr">
        <is>
          <t>Activo</t>
        </is>
      </c>
      <c r="L636" t="inlineStr">
        <is>
          <t>Cargue inicial oficial desde INVENTARIO.xlsx</t>
        </is>
      </c>
      <c r="M636" s="59" t="n">
        <v>46264</v>
      </c>
    </row>
    <row r="637">
      <c r="A637" t="n">
        <v>44815</v>
      </c>
      <c r="B637" t="inlineStr">
        <is>
          <t>ESPUMA EXPANSIVA MULTIUSO 750 ML SOUDAL</t>
        </is>
      </c>
      <c r="C637" t="inlineStr">
        <is>
          <t>Consumibles</t>
        </is>
      </c>
      <c r="D637" t="inlineStr">
        <is>
          <t>General</t>
        </is>
      </c>
      <c r="E637" t="inlineStr">
        <is>
          <t>Unidad</t>
        </is>
      </c>
      <c r="F637" t="inlineStr">
        <is>
          <t>Generico</t>
        </is>
      </c>
      <c r="G637" t="inlineStr">
        <is>
          <t>-</t>
        </is>
      </c>
      <c r="H637" t="inlineStr">
        <is>
          <t>A2</t>
        </is>
      </c>
      <c r="I637" t="inlineStr">
        <is>
          <t>APLICA</t>
        </is>
      </c>
      <c r="J637" t="n">
        <v>5</v>
      </c>
      <c r="K637" t="inlineStr">
        <is>
          <t>Activo</t>
        </is>
      </c>
      <c r="L637" t="inlineStr">
        <is>
          <t>Cargue inicial oficial desde INVENTARIO.xlsx</t>
        </is>
      </c>
      <c r="M637" s="59" t="n">
        <v>46264</v>
      </c>
    </row>
    <row r="638">
      <c r="A638" t="n">
        <v>44848</v>
      </c>
      <c r="B638" t="inlineStr">
        <is>
          <t>JINKO 620WP-66HL4M BIFACIAL</t>
        </is>
      </c>
      <c r="C638" t="inlineStr">
        <is>
          <t>Materiales</t>
        </is>
      </c>
      <c r="D638" t="inlineStr">
        <is>
          <t>General</t>
        </is>
      </c>
      <c r="E638" t="inlineStr">
        <is>
          <t>Unidad</t>
        </is>
      </c>
      <c r="F638" t="inlineStr">
        <is>
          <t>Generico</t>
        </is>
      </c>
      <c r="G638" t="inlineStr">
        <is>
          <t>-</t>
        </is>
      </c>
      <c r="H638" t="inlineStr">
        <is>
          <t>-</t>
        </is>
      </c>
      <c r="I638" t="inlineStr">
        <is>
          <t>NO APLICA</t>
        </is>
      </c>
      <c r="J638" t="n">
        <v>5</v>
      </c>
      <c r="K638" t="inlineStr">
        <is>
          <t>Activo</t>
        </is>
      </c>
      <c r="L638" t="inlineStr">
        <is>
          <t>Cargue inicial oficial desde INVENTARIO.xlsx</t>
        </is>
      </c>
      <c r="M638" s="59" t="n">
        <v>46264</v>
      </c>
    </row>
    <row r="639">
      <c r="A639" t="n">
        <v>44864</v>
      </c>
      <c r="B639" t="inlineStr">
        <is>
          <t>PILA RECARGABLE AAA X 4 ENERGIZER NIMH PAQUETE</t>
        </is>
      </c>
      <c r="C639" t="inlineStr">
        <is>
          <t>Materiales</t>
        </is>
      </c>
      <c r="D639" t="inlineStr">
        <is>
          <t>General</t>
        </is>
      </c>
      <c r="E639" t="inlineStr">
        <is>
          <t>Caja</t>
        </is>
      </c>
      <c r="F639" t="inlineStr">
        <is>
          <t>Generico</t>
        </is>
      </c>
      <c r="G639" t="inlineStr">
        <is>
          <t>-</t>
        </is>
      </c>
      <c r="H639" t="inlineStr">
        <is>
          <t>-</t>
        </is>
      </c>
      <c r="I639" t="inlineStr">
        <is>
          <t>NO APLICA</t>
        </is>
      </c>
      <c r="J639" t="n">
        <v>5</v>
      </c>
      <c r="K639" t="inlineStr">
        <is>
          <t>Activo</t>
        </is>
      </c>
      <c r="L639" t="inlineStr">
        <is>
          <t>Cargue inicial oficial desde INVENTARIO.xlsx</t>
        </is>
      </c>
      <c r="M639" s="59" t="n">
        <v>46264</v>
      </c>
    </row>
    <row r="640">
      <c r="A640" t="n">
        <v>45411</v>
      </c>
      <c r="B640" t="inlineStr">
        <is>
          <t>UNIDAD MONITOREO COMPULAB IMX8P RIEL DIN</t>
        </is>
      </c>
      <c r="C640" t="inlineStr">
        <is>
          <t>Materiales</t>
        </is>
      </c>
      <c r="D640" t="inlineStr">
        <is>
          <t>General</t>
        </is>
      </c>
      <c r="E640" t="inlineStr">
        <is>
          <t>Unidad</t>
        </is>
      </c>
      <c r="F640" t="inlineStr">
        <is>
          <t>Generico</t>
        </is>
      </c>
      <c r="G640" t="inlineStr">
        <is>
          <t>-</t>
        </is>
      </c>
      <c r="H640" t="inlineStr">
        <is>
          <t>-</t>
        </is>
      </c>
      <c r="I640" t="inlineStr">
        <is>
          <t>NO APLICA</t>
        </is>
      </c>
      <c r="J640" t="n">
        <v>5</v>
      </c>
      <c r="K640" t="inlineStr">
        <is>
          <t>Activo</t>
        </is>
      </c>
      <c r="L640" t="inlineStr">
        <is>
          <t>Cargue inicial oficial desde INVENTARIO.xlsx</t>
        </is>
      </c>
      <c r="M640" s="59" t="n">
        <v>46264</v>
      </c>
    </row>
    <row r="641">
      <c r="A641" t="n">
        <v>45444</v>
      </c>
      <c r="B641" t="inlineStr">
        <is>
          <t>JINKO 585WP 72HL4-BDV BIFACIAL</t>
        </is>
      </c>
      <c r="C641" t="inlineStr">
        <is>
          <t>Materiales</t>
        </is>
      </c>
      <c r="D641" t="inlineStr">
        <is>
          <t>General</t>
        </is>
      </c>
      <c r="E641" t="inlineStr">
        <is>
          <t>Unidad</t>
        </is>
      </c>
      <c r="F641" t="inlineStr">
        <is>
          <t>Generico</t>
        </is>
      </c>
      <c r="G641" t="inlineStr">
        <is>
          <t>-</t>
        </is>
      </c>
      <c r="H641" t="inlineStr">
        <is>
          <t>-</t>
        </is>
      </c>
      <c r="I641" t="inlineStr">
        <is>
          <t>NO APLICA</t>
        </is>
      </c>
      <c r="J641" t="n">
        <v>5</v>
      </c>
      <c r="K641" t="inlineStr">
        <is>
          <t>Activo</t>
        </is>
      </c>
      <c r="L641" t="inlineStr">
        <is>
          <t>Cargue inicial oficial desde INVENTARIO.xlsx</t>
        </is>
      </c>
      <c r="M641" s="59" t="n">
        <v>46264</v>
      </c>
    </row>
    <row r="642">
      <c r="A642" t="n">
        <v>45495</v>
      </c>
      <c r="B642" t="inlineStr">
        <is>
          <t>BORNERA DE PRUEBA Y CONEXION TRIFASICA BLOX</t>
        </is>
      </c>
      <c r="C642" t="inlineStr">
        <is>
          <t>Materiales</t>
        </is>
      </c>
      <c r="D642" t="inlineStr">
        <is>
          <t>General</t>
        </is>
      </c>
      <c r="E642" t="inlineStr">
        <is>
          <t>Unidad</t>
        </is>
      </c>
      <c r="F642" t="inlineStr">
        <is>
          <t>Generico</t>
        </is>
      </c>
      <c r="G642" t="inlineStr">
        <is>
          <t>-</t>
        </is>
      </c>
      <c r="H642" t="inlineStr">
        <is>
          <t>-</t>
        </is>
      </c>
      <c r="I642" t="inlineStr">
        <is>
          <t>NO APLICA</t>
        </is>
      </c>
      <c r="J642" t="n">
        <v>5</v>
      </c>
      <c r="K642" t="inlineStr">
        <is>
          <t>Activo</t>
        </is>
      </c>
      <c r="L642" t="inlineStr">
        <is>
          <t>Cargue inicial oficial desde INVENTARIO.xlsx</t>
        </is>
      </c>
      <c r="M642" s="59" t="n">
        <v>46264</v>
      </c>
    </row>
    <row r="643">
      <c r="A643" t="n">
        <v>45598</v>
      </c>
      <c r="B643" t="inlineStr">
        <is>
          <t>PLATINA EXTREMO BAJO LASTRADA</t>
        </is>
      </c>
      <c r="C643" t="inlineStr">
        <is>
          <t>Materiales</t>
        </is>
      </c>
      <c r="D643" t="inlineStr">
        <is>
          <t>General</t>
        </is>
      </c>
      <c r="E643" t="inlineStr">
        <is>
          <t>Unidad</t>
        </is>
      </c>
      <c r="F643" t="inlineStr">
        <is>
          <t>Generico</t>
        </is>
      </c>
      <c r="G643" t="inlineStr">
        <is>
          <t>-</t>
        </is>
      </c>
      <c r="H643" t="inlineStr">
        <is>
          <t>-</t>
        </is>
      </c>
      <c r="I643" t="inlineStr">
        <is>
          <t>NO APLICA</t>
        </is>
      </c>
      <c r="J643" t="n">
        <v>5</v>
      </c>
      <c r="K643" t="inlineStr">
        <is>
          <t>Activo</t>
        </is>
      </c>
      <c r="L643" t="inlineStr">
        <is>
          <t>Cargue inicial oficial desde INVENTARIO.xlsx</t>
        </is>
      </c>
      <c r="M643" s="59" t="n">
        <v>46264</v>
      </c>
    </row>
    <row r="644">
      <c r="A644" t="n">
        <v>45599</v>
      </c>
      <c r="B644" t="inlineStr">
        <is>
          <t>PLATINA CENTRAL DOBLE INCLINACION LASTRADA</t>
        </is>
      </c>
      <c r="C644" t="inlineStr">
        <is>
          <t>Materiales</t>
        </is>
      </c>
      <c r="D644" t="inlineStr">
        <is>
          <t>General</t>
        </is>
      </c>
      <c r="E644" t="inlineStr">
        <is>
          <t>Unidad</t>
        </is>
      </c>
      <c r="F644" t="inlineStr">
        <is>
          <t>Generico</t>
        </is>
      </c>
      <c r="G644" t="inlineStr">
        <is>
          <t>-</t>
        </is>
      </c>
      <c r="H644" t="inlineStr">
        <is>
          <t>-</t>
        </is>
      </c>
      <c r="I644" t="inlineStr">
        <is>
          <t>NO APLICA</t>
        </is>
      </c>
      <c r="J644" t="n">
        <v>5</v>
      </c>
      <c r="K644" t="inlineStr">
        <is>
          <t>Activo</t>
        </is>
      </c>
      <c r="L644" t="inlineStr">
        <is>
          <t>Cargue inicial oficial desde INVENTARIO.xlsx</t>
        </is>
      </c>
      <c r="M644" s="59" t="n">
        <v>46264</v>
      </c>
    </row>
    <row r="645">
      <c r="A645" t="n">
        <v>45635</v>
      </c>
      <c r="B645" t="inlineStr">
        <is>
          <t>CAJA RADWELT 4X4 SALIDAS 1/2</t>
        </is>
      </c>
      <c r="C645" t="inlineStr">
        <is>
          <t>Materiales</t>
        </is>
      </c>
      <c r="D645" t="inlineStr">
        <is>
          <t>General</t>
        </is>
      </c>
      <c r="E645" t="inlineStr">
        <is>
          <t>Caja</t>
        </is>
      </c>
      <c r="F645" t="inlineStr">
        <is>
          <t>Generico</t>
        </is>
      </c>
      <c r="G645" t="inlineStr">
        <is>
          <t>-</t>
        </is>
      </c>
      <c r="H645" t="inlineStr">
        <is>
          <t>B2</t>
        </is>
      </c>
      <c r="I645" t="inlineStr">
        <is>
          <t>NO APLICA</t>
        </is>
      </c>
      <c r="J645" t="n">
        <v>5</v>
      </c>
      <c r="K645" t="inlineStr">
        <is>
          <t>Activo</t>
        </is>
      </c>
      <c r="L645" t="inlineStr">
        <is>
          <t>Cargue inicial oficial desde INVENTARIO.xlsx</t>
        </is>
      </c>
      <c r="M645" s="59" t="n">
        <v>46264</v>
      </c>
    </row>
    <row r="646">
      <c r="A646" t="n">
        <v>45943</v>
      </c>
      <c r="B646" t="inlineStr">
        <is>
          <t>TORNILLO TROPICALIZADO GRADO 8 1/2" X 1 1/2"</t>
        </is>
      </c>
      <c r="C646" t="inlineStr">
        <is>
          <t>Tornilleria</t>
        </is>
      </c>
      <c r="D646" t="inlineStr">
        <is>
          <t>General</t>
        </is>
      </c>
      <c r="E646" t="inlineStr">
        <is>
          <t>Unidad</t>
        </is>
      </c>
      <c r="F646" t="inlineStr">
        <is>
          <t>Generico</t>
        </is>
      </c>
      <c r="G646" t="inlineStr">
        <is>
          <t>-</t>
        </is>
      </c>
      <c r="H646" t="inlineStr">
        <is>
          <t>-</t>
        </is>
      </c>
      <c r="I646" t="inlineStr">
        <is>
          <t>NO APLICA</t>
        </is>
      </c>
      <c r="J646" t="n">
        <v>5</v>
      </c>
      <c r="K646" t="inlineStr">
        <is>
          <t>Activo</t>
        </is>
      </c>
      <c r="L646" t="inlineStr">
        <is>
          <t>Cargue inicial oficial desde INVENTARIO.xlsx</t>
        </is>
      </c>
      <c r="M646" s="59" t="n">
        <v>46264</v>
      </c>
    </row>
    <row r="647">
      <c r="A647" t="n">
        <v>45955</v>
      </c>
      <c r="B647" t="inlineStr">
        <is>
          <t>JINKO 725WP N-66HL5-BDV</t>
        </is>
      </c>
      <c r="C647" t="inlineStr">
        <is>
          <t>Materiales</t>
        </is>
      </c>
      <c r="D647" t="inlineStr">
        <is>
          <t>General</t>
        </is>
      </c>
      <c r="E647" t="inlineStr">
        <is>
          <t>Unidad</t>
        </is>
      </c>
      <c r="F647" t="inlineStr">
        <is>
          <t>Generico</t>
        </is>
      </c>
      <c r="G647" t="inlineStr">
        <is>
          <t>-</t>
        </is>
      </c>
      <c r="H647" t="inlineStr">
        <is>
          <t>-</t>
        </is>
      </c>
      <c r="I647" t="inlineStr">
        <is>
          <t>NO APLICA</t>
        </is>
      </c>
      <c r="J647" t="n">
        <v>5</v>
      </c>
      <c r="K647" t="inlineStr">
        <is>
          <t>Activo</t>
        </is>
      </c>
      <c r="L647" t="inlineStr">
        <is>
          <t>Cargue inicial oficial desde INVENTARIO.xlsx</t>
        </is>
      </c>
      <c r="M647" s="59" t="n">
        <v>46264</v>
      </c>
    </row>
    <row r="648">
      <c r="A648" t="n">
        <v>46302</v>
      </c>
      <c r="B648" t="inlineStr">
        <is>
          <t>TRINA 620WP TSM-NEG19RC.20</t>
        </is>
      </c>
      <c r="C648" t="inlineStr">
        <is>
          <t>Materiales</t>
        </is>
      </c>
      <c r="D648" t="inlineStr">
        <is>
          <t>General</t>
        </is>
      </c>
      <c r="E648" t="inlineStr">
        <is>
          <t>Unidad</t>
        </is>
      </c>
      <c r="F648" t="inlineStr">
        <is>
          <t>Generico</t>
        </is>
      </c>
      <c r="G648" t="inlineStr">
        <is>
          <t>-</t>
        </is>
      </c>
      <c r="H648" t="inlineStr">
        <is>
          <t>-</t>
        </is>
      </c>
      <c r="I648" t="inlineStr">
        <is>
          <t>NO APLICA</t>
        </is>
      </c>
      <c r="J648" t="n">
        <v>5</v>
      </c>
      <c r="K648" t="inlineStr">
        <is>
          <t>Activo</t>
        </is>
      </c>
      <c r="L648" t="inlineStr">
        <is>
          <t>Cargue inicial oficial desde INVENTARIO.xlsx</t>
        </is>
      </c>
      <c r="M648" s="59" t="n">
        <v>46264</v>
      </c>
    </row>
    <row r="649">
      <c r="A649" t="n">
        <v>46303</v>
      </c>
      <c r="B649" t="inlineStr">
        <is>
          <t>TRINA 625WP TSM-NEG19RC.20</t>
        </is>
      </c>
      <c r="C649" t="inlineStr">
        <is>
          <t>Materiales</t>
        </is>
      </c>
      <c r="D649" t="inlineStr">
        <is>
          <t>General</t>
        </is>
      </c>
      <c r="E649" t="inlineStr">
        <is>
          <t>Unidad</t>
        </is>
      </c>
      <c r="F649" t="inlineStr">
        <is>
          <t>Generico</t>
        </is>
      </c>
      <c r="G649" t="inlineStr">
        <is>
          <t>-</t>
        </is>
      </c>
      <c r="H649" t="inlineStr">
        <is>
          <t>-</t>
        </is>
      </c>
      <c r="I649" t="inlineStr">
        <is>
          <t>NO APLICA</t>
        </is>
      </c>
      <c r="J649" t="n">
        <v>5</v>
      </c>
      <c r="K649" t="inlineStr">
        <is>
          <t>Activo</t>
        </is>
      </c>
      <c r="L649" t="inlineStr">
        <is>
          <t>Cargue inicial oficial desde INVENTARIO.xlsx</t>
        </is>
      </c>
      <c r="M649" s="59" t="n">
        <v>46264</v>
      </c>
    </row>
    <row r="650">
      <c r="A650" t="n">
        <v>46606</v>
      </c>
      <c r="B650" t="inlineStr">
        <is>
          <t>CABLE SOLAR NEGRO 6MM 2KV HF_AD8</t>
        </is>
      </c>
      <c r="C650" t="inlineStr">
        <is>
          <t>Cableado</t>
        </is>
      </c>
      <c r="D650" t="inlineStr">
        <is>
          <t>General</t>
        </is>
      </c>
      <c r="E650" t="inlineStr">
        <is>
          <t>Metro</t>
        </is>
      </c>
      <c r="F650" t="inlineStr">
        <is>
          <t>Generico</t>
        </is>
      </c>
      <c r="G650" t="inlineStr">
        <is>
          <t>-</t>
        </is>
      </c>
      <c r="H650" t="inlineStr">
        <is>
          <t>-</t>
        </is>
      </c>
      <c r="I650" t="inlineStr">
        <is>
          <t>NO APLICA</t>
        </is>
      </c>
      <c r="J650" t="n">
        <v>5</v>
      </c>
      <c r="K650" t="inlineStr">
        <is>
          <t>Activo</t>
        </is>
      </c>
      <c r="L650" t="inlineStr">
        <is>
          <t>Cargue inicial oficial desde INVENTARIO.xlsx</t>
        </is>
      </c>
      <c r="M650" s="59" t="n">
        <v>46264</v>
      </c>
    </row>
    <row r="651">
      <c r="A651" t="n">
        <v>48260</v>
      </c>
      <c r="B651" t="inlineStr">
        <is>
          <t>PATCH CORD LC-LC SM 9/125UM DUPLEX X2MTS IMPORT</t>
        </is>
      </c>
      <c r="C651" t="inlineStr">
        <is>
          <t>Materiales</t>
        </is>
      </c>
      <c r="D651" t="inlineStr">
        <is>
          <t>General</t>
        </is>
      </c>
      <c r="E651" t="inlineStr">
        <is>
          <t>Unidad</t>
        </is>
      </c>
      <c r="F651" t="inlineStr">
        <is>
          <t>Generico</t>
        </is>
      </c>
      <c r="G651" t="inlineStr">
        <is>
          <t>-</t>
        </is>
      </c>
      <c r="H651" t="inlineStr">
        <is>
          <t>-</t>
        </is>
      </c>
      <c r="I651" t="inlineStr">
        <is>
          <t>NO APLICA</t>
        </is>
      </c>
      <c r="J651" t="n">
        <v>5</v>
      </c>
      <c r="K651" t="inlineStr">
        <is>
          <t>Activo</t>
        </is>
      </c>
      <c r="L651" t="inlineStr">
        <is>
          <t>Cargue inicial oficial desde INVENTARIO.xlsx</t>
        </is>
      </c>
      <c r="M651" s="59" t="n">
        <v>46264</v>
      </c>
    </row>
    <row r="652">
      <c r="A652" t="n">
        <v>48261</v>
      </c>
      <c r="B652" t="inlineStr">
        <is>
          <t>PIG TAIL LC SM SIMPLEX 9/125UM X1.5MTS 900UM</t>
        </is>
      </c>
      <c r="C652" t="inlineStr">
        <is>
          <t>Materiales</t>
        </is>
      </c>
      <c r="D652" t="inlineStr">
        <is>
          <t>General</t>
        </is>
      </c>
      <c r="E652" t="inlineStr">
        <is>
          <t>Unidad</t>
        </is>
      </c>
      <c r="F652" t="inlineStr">
        <is>
          <t>Generico</t>
        </is>
      </c>
      <c r="G652" t="inlineStr">
        <is>
          <t>-</t>
        </is>
      </c>
      <c r="H652" t="inlineStr">
        <is>
          <t>-</t>
        </is>
      </c>
      <c r="I652" t="inlineStr">
        <is>
          <t>NO APLICA</t>
        </is>
      </c>
      <c r="J652" t="n">
        <v>5</v>
      </c>
      <c r="K652" t="inlineStr">
        <is>
          <t>Activo</t>
        </is>
      </c>
      <c r="L652" t="inlineStr">
        <is>
          <t>Cargue inicial oficial desde INVENTARIO.xlsx</t>
        </is>
      </c>
      <c r="M652" s="59" t="n">
        <v>46264</v>
      </c>
    </row>
    <row r="653">
      <c r="A653" t="n">
        <v>48262</v>
      </c>
      <c r="B653" t="inlineStr">
        <is>
          <t>PATCH CORD CAT6A SFTP 10FT 3M COLOR AZUL O GRIS VCP</t>
        </is>
      </c>
      <c r="C653" t="inlineStr">
        <is>
          <t>Materiales</t>
        </is>
      </c>
      <c r="D653" t="inlineStr">
        <is>
          <t>General</t>
        </is>
      </c>
      <c r="E653" t="inlineStr">
        <is>
          <t>Unidad</t>
        </is>
      </c>
      <c r="F653" t="inlineStr">
        <is>
          <t>Generico</t>
        </is>
      </c>
      <c r="G653" t="inlineStr">
        <is>
          <t>-</t>
        </is>
      </c>
      <c r="H653" t="inlineStr">
        <is>
          <t>-</t>
        </is>
      </c>
      <c r="I653" t="inlineStr">
        <is>
          <t>NO APLICA</t>
        </is>
      </c>
      <c r="J653" t="n">
        <v>5</v>
      </c>
      <c r="K653" t="inlineStr">
        <is>
          <t>Activo</t>
        </is>
      </c>
      <c r="L653" t="inlineStr">
        <is>
          <t>Cargue inicial oficial desde INVENTARIO.xlsx</t>
        </is>
      </c>
      <c r="M653" s="59" t="n">
        <v>46264</v>
      </c>
    </row>
    <row r="654">
      <c r="A654" t="n">
        <v>48263</v>
      </c>
      <c r="B654" t="inlineStr">
        <is>
          <t>PATCH CORD CAT6A SFTP 23FT 7M COLOR GRIS VCP</t>
        </is>
      </c>
      <c r="C654" t="inlineStr">
        <is>
          <t>Materiales</t>
        </is>
      </c>
      <c r="D654" t="inlineStr">
        <is>
          <t>General</t>
        </is>
      </c>
      <c r="E654" t="inlineStr">
        <is>
          <t>Unidad</t>
        </is>
      </c>
      <c r="F654" t="inlineStr">
        <is>
          <t>Generico</t>
        </is>
      </c>
      <c r="G654" t="inlineStr">
        <is>
          <t>-</t>
        </is>
      </c>
      <c r="H654" t="inlineStr">
        <is>
          <t>-</t>
        </is>
      </c>
      <c r="I654" t="inlineStr">
        <is>
          <t>NO APLICA</t>
        </is>
      </c>
      <c r="J654" t="n">
        <v>5</v>
      </c>
      <c r="K654" t="inlineStr">
        <is>
          <t>Activo</t>
        </is>
      </c>
      <c r="L654" t="inlineStr">
        <is>
          <t>Cargue inicial oficial desde INVENTARIO.xlsx</t>
        </is>
      </c>
      <c r="M654" s="59" t="n">
        <v>46264</v>
      </c>
    </row>
    <row r="655">
      <c r="A655" t="n">
        <v>48264</v>
      </c>
      <c r="B655" t="inlineStr">
        <is>
          <t>PATCH CORD CAT6A SFTP 17FT 5M COLOR GRIS SIEMON</t>
        </is>
      </c>
      <c r="C655" t="inlineStr">
        <is>
          <t>Materiales</t>
        </is>
      </c>
      <c r="D655" t="inlineStr">
        <is>
          <t>General</t>
        </is>
      </c>
      <c r="E655" t="inlineStr">
        <is>
          <t>Unidad</t>
        </is>
      </c>
      <c r="F655" t="inlineStr">
        <is>
          <t>Generico</t>
        </is>
      </c>
      <c r="G655" t="inlineStr">
        <is>
          <t>-</t>
        </is>
      </c>
      <c r="H655" t="inlineStr">
        <is>
          <t>-</t>
        </is>
      </c>
      <c r="I655" t="inlineStr">
        <is>
          <t>NO APLICA</t>
        </is>
      </c>
      <c r="J655" t="n">
        <v>5</v>
      </c>
      <c r="K655" t="inlineStr">
        <is>
          <t>Activo</t>
        </is>
      </c>
      <c r="L655" t="inlineStr">
        <is>
          <t>Cargue inicial oficial desde INVENTARIO.xlsx</t>
        </is>
      </c>
      <c r="M655" s="59" t="n">
        <v>46264</v>
      </c>
    </row>
    <row r="656">
      <c r="A656" t="n">
        <v>48632</v>
      </c>
      <c r="B656" t="inlineStr">
        <is>
          <t>CONECTOR COMPRESION C 6 AWG</t>
        </is>
      </c>
      <c r="C656" t="inlineStr">
        <is>
          <t>Materiales</t>
        </is>
      </c>
      <c r="D656" t="inlineStr">
        <is>
          <t>General</t>
        </is>
      </c>
      <c r="E656" t="inlineStr">
        <is>
          <t>Unidad</t>
        </is>
      </c>
      <c r="F656" t="inlineStr">
        <is>
          <t>Generico</t>
        </is>
      </c>
      <c r="G656" t="inlineStr">
        <is>
          <t>-</t>
        </is>
      </c>
      <c r="H656" t="inlineStr">
        <is>
          <t>-</t>
        </is>
      </c>
      <c r="I656" t="inlineStr">
        <is>
          <t>NO APLICA</t>
        </is>
      </c>
      <c r="J656" t="n">
        <v>5</v>
      </c>
      <c r="K656" t="inlineStr">
        <is>
          <t>Activo</t>
        </is>
      </c>
      <c r="L656" t="inlineStr">
        <is>
          <t>Cargue inicial oficial desde INVENTARIO.xlsx</t>
        </is>
      </c>
      <c r="M656" s="59" t="n">
        <v>46264</v>
      </c>
    </row>
  </sheetData>
  <mergeCells count="1">
    <mergeCell ref="A1:M1"/>
  </mergeCells>
  <hyperlinks>
    <hyperlink ref="M2" location="INICIO!A1" display="INICIO!A1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K8"/>
  <sheetViews>
    <sheetView tabSelected="1" workbookViewId="0">
      <selection activeCell="J8" sqref="J8:K8"/>
    </sheetView>
  </sheetViews>
  <sheetFormatPr baseColWidth="10" defaultRowHeight="15"/>
  <sheetData>
    <row r="1" ht="24.95" customHeight="1" s="33">
      <c r="A1" s="48" t="inlineStr">
        <is>
          <t>GESTION DE INVENTARIO</t>
        </is>
      </c>
    </row>
    <row r="2" ht="24.95" customHeight="1" s="33"/>
    <row r="3" ht="21.95" customHeight="1" s="33">
      <c r="A3" s="50" t="inlineStr">
        <is>
          <t>Control de Herramientas, Tornillos, Brocas, Materiales y Consumibles | Gestion por Codigo de Item</t>
        </is>
      </c>
    </row>
    <row r="5">
      <c r="A5" s="5" t="inlineStr">
        <is>
          <t>Fecha del Sistema:</t>
        </is>
      </c>
      <c r="B5" s="6">
        <f>TODAY()</f>
        <v/>
      </c>
      <c r="J5" s="7" t="inlineStr">
        <is>
          <t>Estado: ACTIVO</t>
        </is>
      </c>
    </row>
    <row r="7" ht="21.95" customHeight="1" s="33">
      <c r="A7" s="8" t="inlineStr">
        <is>
          <t>TOTAL ITEMS</t>
        </is>
      </c>
      <c r="B7" s="53" t="n"/>
      <c r="C7" s="8" t="inlineStr">
        <is>
          <t>STOCK BODEGA CDS</t>
        </is>
      </c>
      <c r="D7" s="53" t="n"/>
      <c r="E7" s="8" t="inlineStr">
        <is>
          <t>ITEMS VENCIDOS</t>
        </is>
      </c>
      <c r="F7" s="53" t="n"/>
      <c r="G7" s="8" t="inlineStr">
        <is>
          <t>PROXIMOS A VENCER</t>
        </is>
      </c>
      <c r="H7" s="53" t="n"/>
      <c r="I7" s="8" t="inlineStr">
        <is>
          <t>TOTAL MOVIMIENTOS</t>
        </is>
      </c>
      <c r="J7" s="8" t="inlineStr">
        <is>
          <t>STOCK BAJO</t>
        </is>
      </c>
      <c r="K7" s="53" t="n"/>
    </row>
    <row r="8" ht="36" customHeight="1" s="33">
      <c r="A8" s="9">
        <f>COUNTA(ITEMS!A4:A726)</f>
        <v/>
      </c>
      <c r="B8" s="53" t="n"/>
      <c r="C8" s="9">
        <f>IFERROR(SUMIF(INVENTARIO!E4:E726, "CDS", INVENTARIO!M4:M726), 0)</f>
        <v/>
      </c>
      <c r="D8" s="53" t="n"/>
      <c r="E8" s="60">
        <f>IFERROR(COUNTIFS(CONTROL_VENCIMIENTOS!C4:C2000, "CDS", CONTROL_VENCIMIENTOS!H4:H2000, "¡VENCIDO!", CONTROL_VENCIMIENTOS!G4:G2000, "&gt;0"), 0)</f>
        <v/>
      </c>
      <c r="F8" s="53" t="n"/>
      <c r="G8" s="61">
        <f>IFERROR(COUNTIFS(CONTROL_VENCIMIENTOS!C4:C2000, "CDS", CONTROL_VENCIMIENTOS!H4:H2000, "PROXIMO A VENCER", CONTROL_VENCIMIENTOS!G4:G2000, "&gt;0"), 0)</f>
        <v/>
      </c>
      <c r="H8" s="53" t="n"/>
      <c r="I8" s="9">
        <f>COUNTA(HISTORIAL_MOVIMIENTOS!A4:A152)</f>
        <v/>
      </c>
      <c r="J8" s="61">
        <f>IFERROR(COUNTIFS(INVENTARIO!E4:E726, "CDS", INVENTARIO!P4:P726, "STOCK BAJO"), 0)</f>
        <v/>
      </c>
      <c r="K8" s="53" t="n"/>
    </row>
    <row r="10" ht="44.1" customHeight="1" s="33"/>
    <row r="11" ht="9.949999999999999" customHeight="1" s="33"/>
    <row r="12" ht="44.1" customHeight="1" s="33"/>
  </sheetData>
  <mergeCells count="12">
    <mergeCell ref="C7:D7"/>
    <mergeCell ref="A3:K3"/>
    <mergeCell ref="G7:H7"/>
    <mergeCell ref="E7:F7"/>
    <mergeCell ref="A7:B7"/>
    <mergeCell ref="A1:K2"/>
    <mergeCell ref="J7:K7"/>
    <mergeCell ref="J8:K8"/>
    <mergeCell ref="G8:H8"/>
    <mergeCell ref="A8:B8"/>
    <mergeCell ref="E8:F8"/>
    <mergeCell ref="C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ANDRES</dc:creator>
  <dcterms:created xmlns:dcterms="http://purl.org/dc/terms/" xmlns:xsi="http://www.w3.org/2001/XMLSchema-instance" xsi:type="dcterms:W3CDTF">2026-08-29T16:16:27Z</dcterms:created>
  <dcterms:modified xmlns:dcterms="http://purl.org/dc/terms/" xmlns:xsi="http://www.w3.org/2001/XMLSchema-instance" xsi:type="dcterms:W3CDTF">2026-08-30T22:27:07Z</dcterms:modified>
  <cp:lastModifiedBy>ANDRES</cp:lastModifiedBy>
</cp:coreProperties>
</file>